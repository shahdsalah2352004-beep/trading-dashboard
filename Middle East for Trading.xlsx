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Laptop\Project\data\"/>
    </mc:Choice>
  </mc:AlternateContent>
  <bookViews>
    <workbookView xWindow="0" yWindow="0" windowWidth="20490" windowHeight="7500" activeTab="5"/>
  </bookViews>
  <sheets>
    <sheet name="Sheet2" sheetId="2" r:id="rId1"/>
    <sheet name="Sheet4" sheetId="4" r:id="rId2"/>
    <sheet name="Sheet5" sheetId="5" r:id="rId3"/>
    <sheet name="Sheet6" sheetId="6" r:id="rId4"/>
    <sheet name="Sheet8" sheetId="8" r:id="rId5"/>
    <sheet name="Dashboard" sheetId="10" r:id="rId6"/>
    <sheet name="Sheet9" sheetId="9" r:id="rId7"/>
    <sheet name="Sheet1" sheetId="1" r:id="rId8"/>
  </sheets>
  <definedNames>
    <definedName name="Slicer_Branch">#N/A</definedName>
    <definedName name="Slicer_Branch_Clean">#N/A</definedName>
    <definedName name="Slicer_BreakDown_Date">#N/A</definedName>
    <definedName name="Slicer_Financed_amount">#N/A</definedName>
    <definedName name="Slicer_Month">#N/A</definedName>
    <definedName name="Slicer_Month1">#N/A</definedName>
    <definedName name="Slicer_Product_price">#N/A</definedName>
    <definedName name="Slicer_Type_of_transaction">#N/A</definedName>
  </definedNames>
  <calcPr calcId="162913"/>
  <pivotCaches>
    <pivotCache cacheId="19"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 l="1"/>
  <c r="AG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F2" i="1"/>
  <c r="AH81" i="1"/>
  <c r="AH2" i="1"/>
  <c r="AG81" i="1"/>
</calcChain>
</file>

<file path=xl/sharedStrings.xml><?xml version="1.0" encoding="utf-8"?>
<sst xmlns="http://schemas.openxmlformats.org/spreadsheetml/2006/main" count="1263" uniqueCount="263">
  <si>
    <t>BreakDown Date</t>
  </si>
  <si>
    <t>Vendor &amp; Branch</t>
  </si>
  <si>
    <t>Type of transaction</t>
  </si>
  <si>
    <t>Profito reference</t>
  </si>
  <si>
    <t>Vendor</t>
  </si>
  <si>
    <t>Vendor brand</t>
  </si>
  <si>
    <t>Vendor name</t>
  </si>
  <si>
    <t>Loan number</t>
  </si>
  <si>
    <t>Purchase ID</t>
  </si>
  <si>
    <t>Purchases code</t>
  </si>
  <si>
    <t>Date of purchase</t>
  </si>
  <si>
    <t>Product price</t>
  </si>
  <si>
    <t>Down payment</t>
  </si>
  <si>
    <t>Financed amount</t>
  </si>
  <si>
    <t>Calculated financed amount</t>
  </si>
  <si>
    <t xml:space="preserve">Fees </t>
  </si>
  <si>
    <t>Discount amount</t>
  </si>
  <si>
    <t>Fees adjustments</t>
  </si>
  <si>
    <t>Rebate adjustments</t>
  </si>
  <si>
    <t>General adjustments</t>
  </si>
  <si>
    <t>Settled amount</t>
  </si>
  <si>
    <t>Rebate</t>
  </si>
  <si>
    <t>Fees %</t>
  </si>
  <si>
    <t>Tenor</t>
  </si>
  <si>
    <t>Refund Date</t>
  </si>
  <si>
    <t>Branch</t>
  </si>
  <si>
    <t>Customer name</t>
  </si>
  <si>
    <t xml:space="preserve">Merchant Status </t>
  </si>
  <si>
    <t>Bank Name</t>
  </si>
  <si>
    <t>Bank GL</t>
  </si>
  <si>
    <t>Name</t>
  </si>
  <si>
    <t>Notes</t>
  </si>
  <si>
    <t>Image Watches Mall Of ArabiaImage Watches - October - Mall of Arabia</t>
  </si>
  <si>
    <t>Sale</t>
  </si>
  <si>
    <t>SET040126257408</t>
  </si>
  <si>
    <t>Middle East for Trading</t>
  </si>
  <si>
    <t>Image Watches Mall Of Arabia</t>
  </si>
  <si>
    <t>CL28122513337036</t>
  </si>
  <si>
    <t>-</t>
  </si>
  <si>
    <t>Image Watches - October - Mall of Arabia</t>
  </si>
  <si>
    <t>Hadeel osama Ashmawi</t>
  </si>
  <si>
    <t>Verified</t>
  </si>
  <si>
    <t>Fatma</t>
  </si>
  <si>
    <t>Image Watches City Center AlexandriaImage watches - Alexandria - City Center Alexandria</t>
  </si>
  <si>
    <t>SET281225255214</t>
  </si>
  <si>
    <t>Image Watches City Center Alexandria</t>
  </si>
  <si>
    <t>CL25122513292203</t>
  </si>
  <si>
    <t>Image watches - Alexandria - City Center Alexandria</t>
  </si>
  <si>
    <t>محمد محمود جمال الدين حسيب</t>
  </si>
  <si>
    <t>CL30122513367411</t>
  </si>
  <si>
    <t>Waad Osama Abdelkader Ashmawi</t>
  </si>
  <si>
    <t>CL23122513261296</t>
  </si>
  <si>
    <t>ايمان فتحى نصر احمد عبدالعال</t>
  </si>
  <si>
    <t>SET281225255215</t>
  </si>
  <si>
    <t>CL27122513320529</t>
  </si>
  <si>
    <t>هيثم مأمون احمد شوشه</t>
  </si>
  <si>
    <t>CL21122513231142</t>
  </si>
  <si>
    <t>samar mounier arafa</t>
  </si>
  <si>
    <t>CL01012613402411</t>
  </si>
  <si>
    <t>عمر قاسم حسن قاسم</t>
  </si>
  <si>
    <t>Image Watches CFCImage watches - New Cairo - Cairo Festival City</t>
  </si>
  <si>
    <t>SET110126259106</t>
  </si>
  <si>
    <t>Image Watches CFC</t>
  </si>
  <si>
    <t>CL08012613522031</t>
  </si>
  <si>
    <t>Image watches - New Cairo - Cairo Festival City</t>
  </si>
  <si>
    <t xml:space="preserve">Shereen Essam el din Mostafa Mohamed said Ahmed elmaslami </t>
  </si>
  <si>
    <t>M ElMahdy</t>
  </si>
  <si>
    <t>SET110126259107</t>
  </si>
  <si>
    <t>CL10012613562157</t>
  </si>
  <si>
    <t>Lobna Wahid Shehab</t>
  </si>
  <si>
    <t>CL05012613473974</t>
  </si>
  <si>
    <t xml:space="preserve">Mostafa Ibrahim Mohamed Ismail </t>
  </si>
  <si>
    <t>Image Watches City StarsImage watches - Nasr City - City Stars Mall</t>
  </si>
  <si>
    <t>SET180126260659</t>
  </si>
  <si>
    <t>Image Watches City Stars</t>
  </si>
  <si>
    <t>CL11012613578182</t>
  </si>
  <si>
    <t>Image watches - Nasr City - City Stars Mall</t>
  </si>
  <si>
    <t>Mohammed mahmoud Melegy</t>
  </si>
  <si>
    <t>Image Watches City Center AlmazaImage watches - Heliopolis - City Center Almaza</t>
  </si>
  <si>
    <t>SET180126260658</t>
  </si>
  <si>
    <t>Image Watches City Center Almaza</t>
  </si>
  <si>
    <t>CL12012613592321</t>
  </si>
  <si>
    <t>Image watches - Heliopolis - City Center Almaza</t>
  </si>
  <si>
    <t>عبدالله وائل عبدالله بيومى</t>
  </si>
  <si>
    <t>CL14012613616825</t>
  </si>
  <si>
    <t>كرستين سعد نصيف دميان</t>
  </si>
  <si>
    <t>SET250126261505</t>
  </si>
  <si>
    <t>CL22012613770790</t>
  </si>
  <si>
    <t>mohamed saad eltody</t>
  </si>
  <si>
    <t>M Ashour</t>
  </si>
  <si>
    <t>Pandora EcommerceEcommerce</t>
  </si>
  <si>
    <t>SET010226262253</t>
  </si>
  <si>
    <t>Pandora Ecommerce</t>
  </si>
  <si>
    <t>CL30012613900879</t>
  </si>
  <si>
    <t>Ecommerce</t>
  </si>
  <si>
    <t>Mariam Maged Mahmoud Hamdy</t>
  </si>
  <si>
    <t>SET010226262251</t>
  </si>
  <si>
    <t>CL25012613831903</t>
  </si>
  <si>
    <t>محمود احمد احمد محمد بدر</t>
  </si>
  <si>
    <t>SET010226262252</t>
  </si>
  <si>
    <t>CL28012613880713</t>
  </si>
  <si>
    <t>lekaa mabrouk nazem moursi</t>
  </si>
  <si>
    <t>CL29012613896972</t>
  </si>
  <si>
    <t>سلمى محمد شعبان فهمى شطا</t>
  </si>
  <si>
    <t>CL26012613845976</t>
  </si>
  <si>
    <t>أدم مصطفى محمد السيد</t>
  </si>
  <si>
    <t>CL28012613877807</t>
  </si>
  <si>
    <t>هناء محمد عبدالرحمن احمد يسن</t>
  </si>
  <si>
    <t>CL29012613895521</t>
  </si>
  <si>
    <t>كيرلس ناصر عطاس  عبدالملاك</t>
  </si>
  <si>
    <t>CL31012613916211</t>
  </si>
  <si>
    <t>ماجده ابراهيم عيد عبدالسلام</t>
  </si>
  <si>
    <t>CL31012613932621</t>
  </si>
  <si>
    <t>Basma Amin Zaki Ibrahim</t>
  </si>
  <si>
    <t>SET080226265073</t>
  </si>
  <si>
    <t>CL07022614073627</t>
  </si>
  <si>
    <t>tammy samir elsayed</t>
  </si>
  <si>
    <t>CL02022613972036</t>
  </si>
  <si>
    <t>Andrew Usama Zaky</t>
  </si>
  <si>
    <t>CL07022614067395</t>
  </si>
  <si>
    <t>دينا احمد سليم عليوه المسلمى</t>
  </si>
  <si>
    <t>SET080226265071</t>
  </si>
  <si>
    <t>CL04022614009773</t>
  </si>
  <si>
    <t>نور ايمن صابر عويس</t>
  </si>
  <si>
    <t>CL03022613973296</t>
  </si>
  <si>
    <t>ريهام صلاح على محمد زايد</t>
  </si>
  <si>
    <t>SET150226266212</t>
  </si>
  <si>
    <t>CL08022614095923</t>
  </si>
  <si>
    <t>sedeek tarek sedeek alam el deen</t>
  </si>
  <si>
    <t>Misr MTL (2)</t>
  </si>
  <si>
    <t>SET150226266211</t>
  </si>
  <si>
    <t>CL14022614211482</t>
  </si>
  <si>
    <t>Ahmed fawzi shehata Mahmoud</t>
  </si>
  <si>
    <t>SET150226266210</t>
  </si>
  <si>
    <t>CL13022614192099</t>
  </si>
  <si>
    <t>Fady Aiman Fayek Soliman</t>
  </si>
  <si>
    <t>CL14022614202113</t>
  </si>
  <si>
    <t>nada helmy Mahmoud ahmden</t>
  </si>
  <si>
    <t>CL10022614118604</t>
  </si>
  <si>
    <t>Lujain Ashraf Elsabagh</t>
  </si>
  <si>
    <t>CL13022614175979</t>
  </si>
  <si>
    <t>Rana mohamed Atef Bassiouny Mohamed</t>
  </si>
  <si>
    <t>CL14022614210742</t>
  </si>
  <si>
    <t>Omar Ahmed Rawash</t>
  </si>
  <si>
    <t>CL09022614096156</t>
  </si>
  <si>
    <t xml:space="preserve">Ghada Mohamed Abou zaid Mohamed Mohamed </t>
  </si>
  <si>
    <t>CL14022614210801</t>
  </si>
  <si>
    <t>Amr saleh mohamed</t>
  </si>
  <si>
    <t>CL11022614135792</t>
  </si>
  <si>
    <t>hoda mohamed Tarraf</t>
  </si>
  <si>
    <t>CL10022614125142</t>
  </si>
  <si>
    <t>يوسف صلاح عباس  رمضان حسن</t>
  </si>
  <si>
    <t>CL12022614162403</t>
  </si>
  <si>
    <t>Nesma Mohamed El Shazly</t>
  </si>
  <si>
    <t>CL13022614187850</t>
  </si>
  <si>
    <t>نورهان جلال عبدالفتاح الجمل</t>
  </si>
  <si>
    <t>CL13022614184595</t>
  </si>
  <si>
    <t>Mohamed Mahmoud Abdallah</t>
  </si>
  <si>
    <t>CL13022614175354</t>
  </si>
  <si>
    <t>مايكل ماجد فاروق انيي</t>
  </si>
  <si>
    <t>CL13022614193374</t>
  </si>
  <si>
    <t>نورهان ماهر عبدالوهاب محمد حجاج</t>
  </si>
  <si>
    <t>SET220226267805</t>
  </si>
  <si>
    <t>CL19022614303581</t>
  </si>
  <si>
    <t xml:space="preserve">shayam mohmed elsyaed Mohmed </t>
  </si>
  <si>
    <t>CL19022614306228</t>
  </si>
  <si>
    <t>Maha abd el hameed sharafeldin</t>
  </si>
  <si>
    <t>CL15022614223874</t>
  </si>
  <si>
    <t>دينا زياد احمد صبرى</t>
  </si>
  <si>
    <t>CL16022614237021</t>
  </si>
  <si>
    <t>Dalia Abdelsalam Abdelsalam Elaskary</t>
  </si>
  <si>
    <t>Refund</t>
  </si>
  <si>
    <t>CL11022614135792_1</t>
  </si>
  <si>
    <t>SET010326268507</t>
  </si>
  <si>
    <t>CL26022614415729</t>
  </si>
  <si>
    <t>Omar  Mohamed Arafa</t>
  </si>
  <si>
    <t>Misr MTL (1)</t>
  </si>
  <si>
    <t>CL25022614394033</t>
  </si>
  <si>
    <t>Youssif Khaled Badr</t>
  </si>
  <si>
    <t>CL25022614395096</t>
  </si>
  <si>
    <t>محمد مصطفى احمدصلاح الدين محمد</t>
  </si>
  <si>
    <t>Adjustment - Deduct Negative Balance</t>
  </si>
  <si>
    <t>SET080326270880</t>
  </si>
  <si>
    <t>CL05032614543397</t>
  </si>
  <si>
    <t>كمال محى الدين عبدالحميد عبدالقادر</t>
  </si>
  <si>
    <t>AAIB</t>
  </si>
  <si>
    <t>SET080326270881</t>
  </si>
  <si>
    <t>CL01032614470055</t>
  </si>
  <si>
    <t>Rimonda Medhat Milad Wanis</t>
  </si>
  <si>
    <t>SET150326272031</t>
  </si>
  <si>
    <t>CL13032614727396</t>
  </si>
  <si>
    <t>داليا جمال الدين عبدالحميد رمضان</t>
  </si>
  <si>
    <t>AAIB - Batch 2</t>
  </si>
  <si>
    <t>SET150326272030</t>
  </si>
  <si>
    <t>CL13032614725637</t>
  </si>
  <si>
    <t>walaa Hassan Mohamed sakr</t>
  </si>
  <si>
    <t>CL11032614674329</t>
  </si>
  <si>
    <t>mahmoud assem badra</t>
  </si>
  <si>
    <t>SET150326272029</t>
  </si>
  <si>
    <t>CL08032614615931</t>
  </si>
  <si>
    <t>mohamed adel gaafar</t>
  </si>
  <si>
    <t>CL09032614634273</t>
  </si>
  <si>
    <t>raghda abdel halim helmy kamh</t>
  </si>
  <si>
    <t>CL10032614653510</t>
  </si>
  <si>
    <t>مروان عبدالرحمن فهمى عبدالرحمن ابوغنيم</t>
  </si>
  <si>
    <t>SET230326273687</t>
  </si>
  <si>
    <t>CL16032614790176</t>
  </si>
  <si>
    <t>dina Abdallah Mohamad elshnawy</t>
  </si>
  <si>
    <t>Al Baraka</t>
  </si>
  <si>
    <t>SET230326273689</t>
  </si>
  <si>
    <t>CL15032614758116</t>
  </si>
  <si>
    <t>وليد محمود عبدالخالق محمود</t>
  </si>
  <si>
    <t>SET230326273686</t>
  </si>
  <si>
    <t>CL20032614884980</t>
  </si>
  <si>
    <t>hend khalaf atwa khalf</t>
  </si>
  <si>
    <t>CL18032614832943</t>
  </si>
  <si>
    <t>سهيله خالد محمد حسين محارب</t>
  </si>
  <si>
    <t>CL22032614906832</t>
  </si>
  <si>
    <t>Nihal ElSayed Amer amer  ElShafeay</t>
  </si>
  <si>
    <t>CL21032614889903</t>
  </si>
  <si>
    <t>Annsimone George Alamir</t>
  </si>
  <si>
    <t>SET230326273688</t>
  </si>
  <si>
    <t>CL21032614892784</t>
  </si>
  <si>
    <t>mustafa yehya Mohammed</t>
  </si>
  <si>
    <t>CL17032614823042</t>
  </si>
  <si>
    <t>نهال علاءالدين محمد عبدالملك خليل</t>
  </si>
  <si>
    <t>CL15032614771672</t>
  </si>
  <si>
    <t>Mostafa Safwat Ibrahim Abdellatif</t>
  </si>
  <si>
    <t>CL18032614826393</t>
  </si>
  <si>
    <t>دينا رجب طلعت محمد محمد مصطفى</t>
  </si>
  <si>
    <t>CL23032614916056</t>
  </si>
  <si>
    <t>Saeed Amin El Tobgy</t>
  </si>
  <si>
    <t>CL20032614876737</t>
  </si>
  <si>
    <t>CL15032614763446</t>
  </si>
  <si>
    <t>يمنى أحمد على محمد خاطر</t>
  </si>
  <si>
    <t>SET290326274290</t>
  </si>
  <si>
    <t>CL26032614956292</t>
  </si>
  <si>
    <t>منه الله نصر محمود عمر</t>
  </si>
  <si>
    <t xml:space="preserve">AAIB </t>
  </si>
  <si>
    <t>Sayed</t>
  </si>
  <si>
    <t>Branch Clean</t>
  </si>
  <si>
    <t>Month</t>
  </si>
  <si>
    <t>Row Labels</t>
  </si>
  <si>
    <t>CFC</t>
  </si>
  <si>
    <t>City Center Alexandria</t>
  </si>
  <si>
    <t>City Center Almaza</t>
  </si>
  <si>
    <t>City Stars</t>
  </si>
  <si>
    <t>Mall Of Arabia</t>
  </si>
  <si>
    <t>Other</t>
  </si>
  <si>
    <t>Grand Total</t>
  </si>
  <si>
    <t>Sum of Product price</t>
  </si>
  <si>
    <t>Sum of Settled amount</t>
  </si>
  <si>
    <t>Dec-2025</t>
  </si>
  <si>
    <t>Feb-2026</t>
  </si>
  <si>
    <t>Jan-1900</t>
  </si>
  <si>
    <t>Jan-2026</t>
  </si>
  <si>
    <t>Mar-2026</t>
  </si>
  <si>
    <t>(blank)</t>
  </si>
  <si>
    <t>Sum of Financed amount</t>
  </si>
  <si>
    <t>Total sales</t>
  </si>
  <si>
    <t>Net Settled</t>
  </si>
  <si>
    <t>Total Discount</t>
  </si>
  <si>
    <t>Total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</si>
</sst>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7">
    <font>
      <sz val="11"/>
      <color theme="1"/>
      <name val="Aptos Narrow"/>
      <family val="2"/>
      <scheme val="minor"/>
    </font>
    <font>
      <sz val="11"/>
      <color theme="1"/>
      <name val="Aptos Narrow"/>
      <family val="2"/>
      <scheme val="minor"/>
    </font>
    <font>
      <b/>
      <sz val="11"/>
      <color rgb="FFFFFFFF"/>
      <name val="Calibri"/>
      <family val="2"/>
    </font>
    <font>
      <sz val="11"/>
      <color theme="0"/>
      <name val="Aptos Narrow"/>
      <family val="2"/>
      <scheme val="minor"/>
    </font>
    <font>
      <sz val="11"/>
      <name val="Aptos Narrow"/>
      <family val="2"/>
      <scheme val="minor"/>
    </font>
    <font>
      <sz val="10"/>
      <name val="Var(--font-mono)"/>
    </font>
    <font>
      <sz val="10"/>
      <color theme="0"/>
      <name val="Var(--font-mono)"/>
    </font>
  </fonts>
  <fills count="7">
    <fill>
      <patternFill patternType="none"/>
    </fill>
    <fill>
      <patternFill patternType="gray125"/>
    </fill>
    <fill>
      <patternFill patternType="solid">
        <fgColor rgb="FFF16623"/>
        <bgColor rgb="FF000000"/>
      </patternFill>
    </fill>
    <fill>
      <patternFill patternType="solid">
        <fgColor rgb="FF07A99F"/>
        <bgColor rgb="FF000000"/>
      </patternFill>
    </fill>
    <fill>
      <patternFill patternType="solid">
        <fgColor rgb="FFEF6121"/>
        <bgColor indexed="64"/>
      </patternFill>
    </fill>
    <fill>
      <patternFill patternType="solid">
        <fgColor rgb="FF0BA99A"/>
        <bgColor rgb="FF000000"/>
      </patternFill>
    </fill>
    <fill>
      <patternFill patternType="solid">
        <fgColor rgb="FF0BA99A"/>
        <bgColor indexed="64"/>
      </patternFill>
    </fill>
  </fills>
  <borders count="6">
    <border>
      <left/>
      <right/>
      <top/>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theme="5"/>
      </left>
      <right/>
      <top/>
      <bottom/>
      <diagonal/>
    </border>
    <border>
      <left/>
      <right style="thin">
        <color theme="5"/>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3">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43" fontId="2" fillId="2" borderId="2" xfId="0" applyNumberFormat="1" applyFont="1" applyFill="1" applyBorder="1" applyAlignment="1">
      <alignment horizontal="center"/>
    </xf>
    <xf numFmtId="14" fontId="2" fillId="2" borderId="2" xfId="0" applyNumberFormat="1" applyFont="1" applyFill="1" applyBorder="1" applyAlignment="1">
      <alignment horizontal="center"/>
    </xf>
    <xf numFmtId="9" fontId="2" fillId="2" borderId="2" xfId="2" applyFont="1" applyFill="1" applyBorder="1" applyAlignment="1">
      <alignment horizontal="center"/>
    </xf>
    <xf numFmtId="1" fontId="2" fillId="2" borderId="2" xfId="0" applyNumberFormat="1" applyFont="1" applyFill="1" applyBorder="1" applyAlignment="1">
      <alignment horizontal="center"/>
    </xf>
    <xf numFmtId="0" fontId="2" fillId="2" borderId="3" xfId="0" applyFont="1" applyFill="1" applyBorder="1" applyAlignment="1">
      <alignment horizontal="center"/>
    </xf>
    <xf numFmtId="14" fontId="2" fillId="3" borderId="4" xfId="0" applyNumberFormat="1" applyFont="1" applyFill="1" applyBorder="1" applyAlignment="1">
      <alignment horizontal="center"/>
    </xf>
    <xf numFmtId="0" fontId="2" fillId="3" borderId="0" xfId="0" applyFont="1" applyFill="1" applyAlignment="1">
      <alignment horizontal="center"/>
    </xf>
    <xf numFmtId="43" fontId="2" fillId="3" borderId="0" xfId="1" applyFont="1" applyFill="1" applyAlignment="1">
      <alignment horizontal="center"/>
    </xf>
    <xf numFmtId="1" fontId="2" fillId="3" borderId="0" xfId="0" applyNumberFormat="1" applyFont="1" applyFill="1" applyAlignment="1">
      <alignment horizontal="center"/>
    </xf>
    <xf numFmtId="14" fontId="2" fillId="3" borderId="0" xfId="0" applyNumberFormat="1" applyFont="1" applyFill="1" applyAlignment="1">
      <alignment horizontal="center"/>
    </xf>
    <xf numFmtId="9" fontId="2" fillId="3" borderId="0" xfId="2" applyFont="1" applyFill="1" applyAlignment="1">
      <alignment horizontal="center"/>
    </xf>
    <xf numFmtId="14" fontId="2" fillId="3" borderId="0" xfId="1" applyNumberFormat="1" applyFont="1" applyFill="1" applyAlignment="1">
      <alignment horizontal="center"/>
    </xf>
    <xf numFmtId="1" fontId="2" fillId="3" borderId="0" xfId="1" applyNumberFormat="1" applyFont="1" applyFill="1" applyAlignment="1">
      <alignment horizontal="center"/>
    </xf>
    <xf numFmtId="43" fontId="2" fillId="3" borderId="5" xfId="1" applyFont="1" applyFill="1" applyBorder="1" applyAlignment="1">
      <alignment horizontal="center"/>
    </xf>
    <xf numFmtId="0" fontId="2" fillId="2" borderId="4" xfId="0" applyFont="1" applyFill="1" applyBorder="1" applyAlignment="1">
      <alignment horizontal="center"/>
    </xf>
    <xf numFmtId="0" fontId="2" fillId="2" borderId="0" xfId="0" applyFont="1" applyFill="1" applyAlignment="1">
      <alignment horizontal="center"/>
    </xf>
    <xf numFmtId="14" fontId="2" fillId="2" borderId="0" xfId="0" applyNumberFormat="1" applyFont="1" applyFill="1" applyAlignment="1">
      <alignment horizontal="center"/>
    </xf>
    <xf numFmtId="43" fontId="2" fillId="2" borderId="0" xfId="0" applyNumberFormat="1" applyFont="1" applyFill="1" applyAlignment="1">
      <alignment horizontal="center"/>
    </xf>
    <xf numFmtId="9" fontId="2" fillId="2" borderId="0" xfId="0" applyNumberFormat="1" applyFont="1" applyFill="1" applyAlignment="1">
      <alignment horizontal="center"/>
    </xf>
    <xf numFmtId="1" fontId="2" fillId="2" borderId="0" xfId="0" applyNumberFormat="1" applyFont="1" applyFill="1" applyAlignment="1">
      <alignment horizontal="center"/>
    </xf>
    <xf numFmtId="0" fontId="2" fillId="2" borderId="5" xfId="0" applyFont="1" applyFill="1" applyBorder="1" applyAlignment="1">
      <alignment horizontal="center"/>
    </xf>
    <xf numFmtId="0" fontId="4" fillId="0" borderId="0" xfId="0" applyFont="1"/>
    <xf numFmtId="0" fontId="5" fillId="0" borderId="0" xfId="0" applyFont="1" applyAlignment="1">
      <alignment vertical="center"/>
    </xf>
    <xf numFmtId="0" fontId="3" fillId="4" borderId="0" xfId="0" applyFont="1" applyFill="1"/>
    <xf numFmtId="43" fontId="2" fillId="5" borderId="5" xfId="1" applyFont="1" applyFill="1" applyBorder="1" applyAlignment="1">
      <alignment horizontal="center"/>
    </xf>
    <xf numFmtId="0" fontId="3" fillId="6" borderId="0" xfId="0" applyFont="1" applyFill="1"/>
    <xf numFmtId="0" fontId="6" fillId="6" borderId="0" xfId="0" applyFont="1" applyFill="1" applyAlignment="1">
      <alignment vertical="center"/>
    </xf>
    <xf numFmtId="0" fontId="0" fillId="0" borderId="0" xfId="0" pivotButton="1"/>
    <xf numFmtId="0" fontId="0" fillId="0" borderId="0" xfId="0" applyAlignment="1">
      <alignment horizontal="left"/>
    </xf>
    <xf numFmtId="0" fontId="0" fillId="0" borderId="0" xfId="0" applyNumberFormat="1"/>
  </cellXfs>
  <cellStyles count="3">
    <cellStyle name="Comma" xfId="1" builtinId="3"/>
    <cellStyle name="Normal" xfId="0" builtinId="0"/>
    <cellStyle name="Percent" xfId="2" builtinId="5"/>
  </cellStyles>
  <dxfs count="1">
    <dxf>
      <font>
        <color rgb="FF9C0006"/>
      </font>
      <fill>
        <patternFill>
          <bgColor rgb="FFFFC7CE"/>
        </patternFill>
      </fill>
    </dxf>
  </dxfs>
  <tableStyles count="0" defaultTableStyle="TableStyleMedium2" defaultPivotStyle="PivotStyleLight16"/>
  <colors>
    <mruColors>
      <color rgb="FFEF6121"/>
      <color rgb="FF0BA99A"/>
      <color rgb="FF13D7A8"/>
      <color rgb="FFE86828"/>
      <color rgb="FFFF7111"/>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[Middle East for Trading.xlsx]Sheet4!PivotTable3</c:name>
    <c:fmtId val="1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Sheet4!$B$3</c:f>
              <c:strCache>
                <c:ptCount val="1"/>
                <c:pt idx="0">
                  <c:v>Sum of Product price</c:v>
                </c:pt>
              </c:strCache>
            </c:strRef>
          </c:tx>
          <c:spPr>
            <a:solidFill>
              <a:schemeClr val="accent1"/>
            </a:solidFill>
            <a:ln>
              <a:noFill/>
            </a:ln>
            <a:effectLst/>
          </c:spPr>
          <c:invertIfNegative val="0"/>
          <c:cat>
            <c:strRef>
              <c:f>Sheet4!$A$4:$A$11</c:f>
              <c:strCache>
                <c:ptCount val="7"/>
                <c:pt idx="0">
                  <c:v>CFC</c:v>
                </c:pt>
                <c:pt idx="1">
                  <c:v>City Center Alexandria</c:v>
                </c:pt>
                <c:pt idx="2">
                  <c:v>City Center Almaza</c:v>
                </c:pt>
                <c:pt idx="3">
                  <c:v>City Stars</c:v>
                </c:pt>
                <c:pt idx="4">
                  <c:v>Ecommerce</c:v>
                </c:pt>
                <c:pt idx="5">
                  <c:v>Mall Of Arabia</c:v>
                </c:pt>
                <c:pt idx="6">
                  <c:v>Other</c:v>
                </c:pt>
              </c:strCache>
            </c:strRef>
          </c:cat>
          <c:val>
            <c:numRef>
              <c:f>Sheet4!$B$4:$B$11</c:f>
              <c:numCache>
                <c:formatCode>General</c:formatCode>
                <c:ptCount val="7"/>
                <c:pt idx="0">
                  <c:v>20145</c:v>
                </c:pt>
                <c:pt idx="1">
                  <c:v>27780</c:v>
                </c:pt>
                <c:pt idx="2">
                  <c:v>55845</c:v>
                </c:pt>
                <c:pt idx="3">
                  <c:v>31630</c:v>
                </c:pt>
                <c:pt idx="4">
                  <c:v>279960</c:v>
                </c:pt>
                <c:pt idx="5">
                  <c:v>41840</c:v>
                </c:pt>
                <c:pt idx="6">
                  <c:v>457200</c:v>
                </c:pt>
              </c:numCache>
            </c:numRef>
          </c:val>
          <c:extLst>
            <c:ext xmlns:c16="http://schemas.microsoft.com/office/drawing/2014/chart" uri="{C3380CC4-5D6E-409C-BE32-E72D297353CC}">
              <c16:uniqueId val="{00000000-D607-402C-AEAC-C2C87E0CFAA3}"/>
            </c:ext>
          </c:extLst>
        </c:ser>
        <c:ser>
          <c:idx val="1"/>
          <c:order val="1"/>
          <c:tx>
            <c:strRef>
              <c:f>Sheet4!$C$3</c:f>
              <c:strCache>
                <c:ptCount val="1"/>
                <c:pt idx="0">
                  <c:v>Sum of Settled amount</c:v>
                </c:pt>
              </c:strCache>
            </c:strRef>
          </c:tx>
          <c:spPr>
            <a:solidFill>
              <a:schemeClr val="accent2"/>
            </a:solidFill>
            <a:ln>
              <a:noFill/>
            </a:ln>
            <a:effectLst/>
          </c:spPr>
          <c:invertIfNegative val="0"/>
          <c:cat>
            <c:strRef>
              <c:f>Sheet4!$A$4:$A$11</c:f>
              <c:strCache>
                <c:ptCount val="7"/>
                <c:pt idx="0">
                  <c:v>CFC</c:v>
                </c:pt>
                <c:pt idx="1">
                  <c:v>City Center Alexandria</c:v>
                </c:pt>
                <c:pt idx="2">
                  <c:v>City Center Almaza</c:v>
                </c:pt>
                <c:pt idx="3">
                  <c:v>City Stars</c:v>
                </c:pt>
                <c:pt idx="4">
                  <c:v>Ecommerce</c:v>
                </c:pt>
                <c:pt idx="5">
                  <c:v>Mall Of Arabia</c:v>
                </c:pt>
                <c:pt idx="6">
                  <c:v>Other</c:v>
                </c:pt>
              </c:strCache>
            </c:strRef>
          </c:cat>
          <c:val>
            <c:numRef>
              <c:f>Sheet4!$C$4:$C$11</c:f>
              <c:numCache>
                <c:formatCode>General</c:formatCode>
                <c:ptCount val="7"/>
                <c:pt idx="0">
                  <c:v>19540.650000000001</c:v>
                </c:pt>
                <c:pt idx="1">
                  <c:v>26686.6</c:v>
                </c:pt>
                <c:pt idx="2">
                  <c:v>53679.649999999994</c:v>
                </c:pt>
                <c:pt idx="3">
                  <c:v>29731.1</c:v>
                </c:pt>
                <c:pt idx="4">
                  <c:v>258378.90000000002</c:v>
                </c:pt>
                <c:pt idx="5">
                  <c:v>40042.800000000003</c:v>
                </c:pt>
                <c:pt idx="6">
                  <c:v>428059.7</c:v>
                </c:pt>
              </c:numCache>
            </c:numRef>
          </c:val>
          <c:extLst>
            <c:ext xmlns:c16="http://schemas.microsoft.com/office/drawing/2014/chart" uri="{C3380CC4-5D6E-409C-BE32-E72D297353CC}">
              <c16:uniqueId val="{00000001-D607-402C-AEAC-C2C87E0CFAA3}"/>
            </c:ext>
          </c:extLst>
        </c:ser>
        <c:dLbls>
          <c:showLegendKey val="0"/>
          <c:showVal val="0"/>
          <c:showCatName val="0"/>
          <c:showSerName val="0"/>
          <c:showPercent val="0"/>
          <c:showBubbleSize val="0"/>
        </c:dLbls>
        <c:gapWidth val="219"/>
        <c:overlap val="-27"/>
        <c:axId val="2072002719"/>
        <c:axId val="2072003135"/>
      </c:barChart>
      <c:catAx>
        <c:axId val="207200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003135"/>
        <c:crosses val="autoZero"/>
        <c:auto val="1"/>
        <c:lblAlgn val="ctr"/>
        <c:lblOffset val="100"/>
        <c:noMultiLvlLbl val="0"/>
      </c:catAx>
      <c:valAx>
        <c:axId val="207200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0027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[Middle East for Trading.xlsx]Sheet5!PivotTable4</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Sheet5!$A$4:$A$10</c:f>
              <c:strCache>
                <c:ptCount val="6"/>
                <c:pt idx="0">
                  <c:v>-</c:v>
                </c:pt>
                <c:pt idx="1">
                  <c:v>Dec-2025</c:v>
                </c:pt>
                <c:pt idx="2">
                  <c:v>Feb-2026</c:v>
                </c:pt>
                <c:pt idx="3">
                  <c:v>Jan-1900</c:v>
                </c:pt>
                <c:pt idx="4">
                  <c:v>Jan-2026</c:v>
                </c:pt>
                <c:pt idx="5">
                  <c:v>Mar-2026</c:v>
                </c:pt>
              </c:strCache>
            </c:strRef>
          </c:cat>
          <c:val>
            <c:numRef>
              <c:f>Sheet5!$B$4:$B$10</c:f>
              <c:numCache>
                <c:formatCode>General</c:formatCode>
                <c:ptCount val="6"/>
                <c:pt idx="0">
                  <c:v>0</c:v>
                </c:pt>
                <c:pt idx="1">
                  <c:v>30370</c:v>
                </c:pt>
                <c:pt idx="2">
                  <c:v>136850</c:v>
                </c:pt>
                <c:pt idx="3">
                  <c:v>457200</c:v>
                </c:pt>
                <c:pt idx="4">
                  <c:v>91480</c:v>
                </c:pt>
                <c:pt idx="5">
                  <c:v>198500</c:v>
                </c:pt>
              </c:numCache>
            </c:numRef>
          </c:val>
          <c:extLst>
            <c:ext xmlns:c16="http://schemas.microsoft.com/office/drawing/2014/chart" uri="{C3380CC4-5D6E-409C-BE32-E72D297353CC}">
              <c16:uniqueId val="{00000000-90DC-4EA9-9C24-933B125D60B8}"/>
            </c:ext>
          </c:extLst>
        </c:ser>
        <c:dLbls>
          <c:showLegendKey val="0"/>
          <c:showVal val="0"/>
          <c:showCatName val="0"/>
          <c:showSerName val="0"/>
          <c:showPercent val="0"/>
          <c:showBubbleSize val="0"/>
        </c:dLbls>
        <c:gapWidth val="219"/>
        <c:overlap val="-27"/>
        <c:axId val="2072003551"/>
        <c:axId val="2072005215"/>
      </c:barChart>
      <c:catAx>
        <c:axId val="207200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005215"/>
        <c:crosses val="autoZero"/>
        <c:auto val="1"/>
        <c:lblAlgn val="ctr"/>
        <c:lblOffset val="100"/>
        <c:noMultiLvlLbl val="0"/>
      </c:catAx>
      <c:valAx>
        <c:axId val="207200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0035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[Middle East for Trading.xlsx]Sheet8!PivotTable7</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Sheet8!$B$3</c:f>
              <c:strCache>
                <c:ptCount val="1"/>
                <c:pt idx="0">
                  <c:v>Sum of Product price</c:v>
                </c:pt>
              </c:strCache>
            </c:strRef>
          </c:tx>
          <c:spPr>
            <a:solidFill>
              <a:schemeClr val="accent1"/>
            </a:solidFill>
            <a:ln>
              <a:noFill/>
            </a:ln>
            <a:effectLst/>
          </c:spPr>
          <c:invertIfNegative val="0"/>
          <c:cat>
            <c:strRef>
              <c:f>Sheet8!$A$4:$A$8</c:f>
              <c:strCache>
                <c:ptCount val="4"/>
                <c:pt idx="0">
                  <c:v>Adjustment - Deduct Negative Balance</c:v>
                </c:pt>
                <c:pt idx="1">
                  <c:v>Refund</c:v>
                </c:pt>
                <c:pt idx="2">
                  <c:v>Sale</c:v>
                </c:pt>
                <c:pt idx="3">
                  <c:v>(blank)</c:v>
                </c:pt>
              </c:strCache>
            </c:strRef>
          </c:cat>
          <c:val>
            <c:numRef>
              <c:f>Sheet8!$B$4:$B$8</c:f>
              <c:numCache>
                <c:formatCode>General</c:formatCode>
                <c:ptCount val="4"/>
                <c:pt idx="0">
                  <c:v>0</c:v>
                </c:pt>
                <c:pt idx="1">
                  <c:v>-31595</c:v>
                </c:pt>
                <c:pt idx="2">
                  <c:v>488795</c:v>
                </c:pt>
                <c:pt idx="3">
                  <c:v>457200</c:v>
                </c:pt>
              </c:numCache>
            </c:numRef>
          </c:val>
          <c:extLst>
            <c:ext xmlns:c16="http://schemas.microsoft.com/office/drawing/2014/chart" uri="{C3380CC4-5D6E-409C-BE32-E72D297353CC}">
              <c16:uniqueId val="{00000000-B733-43A2-A35E-83B1E117C889}"/>
            </c:ext>
          </c:extLst>
        </c:ser>
        <c:ser>
          <c:idx val="1"/>
          <c:order val="1"/>
          <c:tx>
            <c:strRef>
              <c:f>Sheet8!$C$3</c:f>
              <c:strCache>
                <c:ptCount val="1"/>
                <c:pt idx="0">
                  <c:v>Sum of Financed amount</c:v>
                </c:pt>
              </c:strCache>
            </c:strRef>
          </c:tx>
          <c:spPr>
            <a:solidFill>
              <a:schemeClr val="accent2"/>
            </a:solidFill>
            <a:ln>
              <a:noFill/>
            </a:ln>
            <a:effectLst/>
          </c:spPr>
          <c:invertIfNegative val="0"/>
          <c:cat>
            <c:strRef>
              <c:f>Sheet8!$A$4:$A$8</c:f>
              <c:strCache>
                <c:ptCount val="4"/>
                <c:pt idx="0">
                  <c:v>Adjustment - Deduct Negative Balance</c:v>
                </c:pt>
                <c:pt idx="1">
                  <c:v>Refund</c:v>
                </c:pt>
                <c:pt idx="2">
                  <c:v>Sale</c:v>
                </c:pt>
                <c:pt idx="3">
                  <c:v>(blank)</c:v>
                </c:pt>
              </c:strCache>
            </c:strRef>
          </c:cat>
          <c:val>
            <c:numRef>
              <c:f>Sheet8!$C$4:$C$8</c:f>
              <c:numCache>
                <c:formatCode>General</c:formatCode>
                <c:ptCount val="4"/>
                <c:pt idx="0">
                  <c:v>0</c:v>
                </c:pt>
                <c:pt idx="1">
                  <c:v>-31595</c:v>
                </c:pt>
                <c:pt idx="2">
                  <c:v>488795</c:v>
                </c:pt>
                <c:pt idx="3">
                  <c:v>457200</c:v>
                </c:pt>
              </c:numCache>
            </c:numRef>
          </c:val>
          <c:extLst>
            <c:ext xmlns:c16="http://schemas.microsoft.com/office/drawing/2014/chart" uri="{C3380CC4-5D6E-409C-BE32-E72D297353CC}">
              <c16:uniqueId val="{00000001-B733-43A2-A35E-83B1E117C889}"/>
            </c:ext>
          </c:extLst>
        </c:ser>
        <c:dLbls>
          <c:showLegendKey val="0"/>
          <c:showVal val="0"/>
          <c:showCatName val="0"/>
          <c:showSerName val="0"/>
          <c:showPercent val="0"/>
          <c:showBubbleSize val="0"/>
        </c:dLbls>
        <c:gapWidth val="219"/>
        <c:overlap val="-27"/>
        <c:axId val="2081566367"/>
        <c:axId val="2081565119"/>
      </c:barChart>
      <c:catAx>
        <c:axId val="208156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65119"/>
        <c:crosses val="autoZero"/>
        <c:auto val="1"/>
        <c:lblAlgn val="ctr"/>
        <c:lblOffset val="100"/>
        <c:noMultiLvlLbl val="0"/>
      </c:catAx>
      <c:valAx>
        <c:axId val="208156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663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[Middle East for Trading.xlsx]Sheet4!PivotTable3</c:name>
    <c:fmtId val="2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marker>
          <c:symbol val="none"/>
        </c:marker>
      </c:pivotFmt>
    </c:pivotFmts>
    <c:plotArea>
      <c:layout/>
      <c:barChart>
        <c:barDir val="col"/>
        <c:grouping val="clustered"/>
        <c:varyColors val="0"/>
        <c:ser>
          <c:idx val="0"/>
          <c:order val="0"/>
          <c:tx>
            <c:strRef>
              <c:f>Sheet4!$B$3</c:f>
              <c:strCache>
                <c:ptCount val="1"/>
                <c:pt idx="0">
                  <c:v>Sum of Product price</c:v>
                </c:pt>
              </c:strCache>
            </c:strRef>
          </c:tx>
          <c:spPr>
            <a:solidFill>
              <a:schemeClr val="accent1"/>
            </a:solidFill>
            <a:ln>
              <a:noFill/>
            </a:ln>
            <a:effectLst/>
          </c:spPr>
          <c:invertIfNegative val="0"/>
          <c:cat>
            <c:strRef>
              <c:f>Sheet4!$A$4:$A$11</c:f>
              <c:strCache>
                <c:ptCount val="7"/>
                <c:pt idx="0">
                  <c:v>CFC</c:v>
                </c:pt>
                <c:pt idx="1">
                  <c:v>City Center Alexandria</c:v>
                </c:pt>
                <c:pt idx="2">
                  <c:v>City Center Almaza</c:v>
                </c:pt>
                <c:pt idx="3">
                  <c:v>City Stars</c:v>
                </c:pt>
                <c:pt idx="4">
                  <c:v>Ecommerce</c:v>
                </c:pt>
                <c:pt idx="5">
                  <c:v>Mall Of Arabia</c:v>
                </c:pt>
                <c:pt idx="6">
                  <c:v>Other</c:v>
                </c:pt>
              </c:strCache>
            </c:strRef>
          </c:cat>
          <c:val>
            <c:numRef>
              <c:f>Sheet4!$B$4:$B$11</c:f>
              <c:numCache>
                <c:formatCode>General</c:formatCode>
                <c:ptCount val="7"/>
                <c:pt idx="0">
                  <c:v>20145</c:v>
                </c:pt>
                <c:pt idx="1">
                  <c:v>27780</c:v>
                </c:pt>
                <c:pt idx="2">
                  <c:v>55845</c:v>
                </c:pt>
                <c:pt idx="3">
                  <c:v>31630</c:v>
                </c:pt>
                <c:pt idx="4">
                  <c:v>279960</c:v>
                </c:pt>
                <c:pt idx="5">
                  <c:v>41840</c:v>
                </c:pt>
                <c:pt idx="6">
                  <c:v>457200</c:v>
                </c:pt>
              </c:numCache>
            </c:numRef>
          </c:val>
          <c:extLst>
            <c:ext xmlns:c16="http://schemas.microsoft.com/office/drawing/2014/chart" uri="{C3380CC4-5D6E-409C-BE32-E72D297353CC}">
              <c16:uniqueId val="{00000003-314A-4E99-9CAF-783E5918B429}"/>
            </c:ext>
          </c:extLst>
        </c:ser>
        <c:ser>
          <c:idx val="1"/>
          <c:order val="1"/>
          <c:tx>
            <c:strRef>
              <c:f>Sheet4!$C$3</c:f>
              <c:strCache>
                <c:ptCount val="1"/>
                <c:pt idx="0">
                  <c:v>Sum of Settled amount</c:v>
                </c:pt>
              </c:strCache>
            </c:strRef>
          </c:tx>
          <c:invertIfNegative val="0"/>
          <c:cat>
            <c:strRef>
              <c:f>Sheet4!$A$4:$A$11</c:f>
              <c:strCache>
                <c:ptCount val="7"/>
                <c:pt idx="0">
                  <c:v>CFC</c:v>
                </c:pt>
                <c:pt idx="1">
                  <c:v>City Center Alexandria</c:v>
                </c:pt>
                <c:pt idx="2">
                  <c:v>City Center Almaza</c:v>
                </c:pt>
                <c:pt idx="3">
                  <c:v>City Stars</c:v>
                </c:pt>
                <c:pt idx="4">
                  <c:v>Ecommerce</c:v>
                </c:pt>
                <c:pt idx="5">
                  <c:v>Mall Of Arabia</c:v>
                </c:pt>
                <c:pt idx="6">
                  <c:v>Other</c:v>
                </c:pt>
              </c:strCache>
            </c:strRef>
          </c:cat>
          <c:val>
            <c:numRef>
              <c:f>Sheet4!$C$4:$C$11</c:f>
              <c:numCache>
                <c:formatCode>General</c:formatCode>
                <c:ptCount val="7"/>
                <c:pt idx="0">
                  <c:v>19540.650000000001</c:v>
                </c:pt>
                <c:pt idx="1">
                  <c:v>26686.6</c:v>
                </c:pt>
                <c:pt idx="2">
                  <c:v>53679.649999999994</c:v>
                </c:pt>
                <c:pt idx="3">
                  <c:v>29731.1</c:v>
                </c:pt>
                <c:pt idx="4">
                  <c:v>258378.90000000002</c:v>
                </c:pt>
                <c:pt idx="5">
                  <c:v>40042.800000000003</c:v>
                </c:pt>
                <c:pt idx="6">
                  <c:v>428059.7</c:v>
                </c:pt>
              </c:numCache>
            </c:numRef>
          </c:val>
          <c:extLst>
            <c:ext xmlns:c16="http://schemas.microsoft.com/office/drawing/2014/chart" uri="{C3380CC4-5D6E-409C-BE32-E72D297353CC}">
              <c16:uniqueId val="{00000004-314A-4E99-9CAF-783E5918B429}"/>
            </c:ext>
          </c:extLst>
        </c:ser>
        <c:dLbls>
          <c:showLegendKey val="0"/>
          <c:showVal val="0"/>
          <c:showCatName val="0"/>
          <c:showSerName val="0"/>
          <c:showPercent val="0"/>
          <c:showBubbleSize val="0"/>
        </c:dLbls>
        <c:gapWidth val="219"/>
        <c:overlap val="-27"/>
        <c:axId val="2072003551"/>
        <c:axId val="2072005215"/>
      </c:barChart>
      <c:catAx>
        <c:axId val="207200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005215"/>
        <c:crosses val="autoZero"/>
        <c:auto val="1"/>
        <c:lblAlgn val="ctr"/>
        <c:lblOffset val="100"/>
        <c:noMultiLvlLbl val="0"/>
      </c:catAx>
      <c:valAx>
        <c:axId val="207200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003551"/>
        <c:crosses val="autoZero"/>
        <c:crossBetween val="between"/>
      </c:valAx>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[Middle East for Trading.xlsx]Sheet5!PivotTable4</c:name>
    <c:fmtId val="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Sheet5!$A$4:$A$10</c:f>
              <c:strCache>
                <c:ptCount val="6"/>
                <c:pt idx="0">
                  <c:v>-</c:v>
                </c:pt>
                <c:pt idx="1">
                  <c:v>Dec-2025</c:v>
                </c:pt>
                <c:pt idx="2">
                  <c:v>Feb-2026</c:v>
                </c:pt>
                <c:pt idx="3">
                  <c:v>Jan-1900</c:v>
                </c:pt>
                <c:pt idx="4">
                  <c:v>Jan-2026</c:v>
                </c:pt>
                <c:pt idx="5">
                  <c:v>Mar-2026</c:v>
                </c:pt>
              </c:strCache>
            </c:strRef>
          </c:cat>
          <c:val>
            <c:numRef>
              <c:f>Sheet5!$B$4:$B$10</c:f>
              <c:numCache>
                <c:formatCode>General</c:formatCode>
                <c:ptCount val="6"/>
                <c:pt idx="0">
                  <c:v>0</c:v>
                </c:pt>
                <c:pt idx="1">
                  <c:v>30370</c:v>
                </c:pt>
                <c:pt idx="2">
                  <c:v>136850</c:v>
                </c:pt>
                <c:pt idx="3">
                  <c:v>457200</c:v>
                </c:pt>
                <c:pt idx="4">
                  <c:v>91480</c:v>
                </c:pt>
                <c:pt idx="5">
                  <c:v>198500</c:v>
                </c:pt>
              </c:numCache>
            </c:numRef>
          </c:val>
          <c:extLst>
            <c:ext xmlns:c16="http://schemas.microsoft.com/office/drawing/2014/chart" uri="{C3380CC4-5D6E-409C-BE32-E72D297353CC}">
              <c16:uniqueId val="{00000000-BDEA-49E3-B471-7F3EC9F2CE7D}"/>
            </c:ext>
          </c:extLst>
        </c:ser>
        <c:dLbls>
          <c:showLegendKey val="0"/>
          <c:showVal val="0"/>
          <c:showCatName val="0"/>
          <c:showSerName val="0"/>
          <c:showPercent val="0"/>
          <c:showBubbleSize val="0"/>
        </c:dLbls>
        <c:gapWidth val="219"/>
        <c:overlap val="-27"/>
        <c:axId val="2072003551"/>
        <c:axId val="2072005215"/>
      </c:barChart>
      <c:catAx>
        <c:axId val="207200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005215"/>
        <c:crosses val="autoZero"/>
        <c:auto val="1"/>
        <c:lblAlgn val="ctr"/>
        <c:lblOffset val="100"/>
        <c:noMultiLvlLbl val="0"/>
      </c:catAx>
      <c:valAx>
        <c:axId val="207200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00355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[Middle East for Trading.xlsx]Sheet8!PivotTable7</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Sheet8!$B$3</c:f>
              <c:strCache>
                <c:ptCount val="1"/>
                <c:pt idx="0">
                  <c:v>Sum of Product price</c:v>
                </c:pt>
              </c:strCache>
            </c:strRef>
          </c:tx>
          <c:spPr>
            <a:solidFill>
              <a:schemeClr val="accent1"/>
            </a:solidFill>
            <a:ln>
              <a:noFill/>
            </a:ln>
            <a:effectLst/>
          </c:spPr>
          <c:invertIfNegative val="0"/>
          <c:cat>
            <c:strRef>
              <c:f>Sheet8!$A$4:$A$8</c:f>
              <c:strCache>
                <c:ptCount val="4"/>
                <c:pt idx="0">
                  <c:v>Adjustment - Deduct Negative Balance</c:v>
                </c:pt>
                <c:pt idx="1">
                  <c:v>Refund</c:v>
                </c:pt>
                <c:pt idx="2">
                  <c:v>Sale</c:v>
                </c:pt>
                <c:pt idx="3">
                  <c:v>(blank)</c:v>
                </c:pt>
              </c:strCache>
            </c:strRef>
          </c:cat>
          <c:val>
            <c:numRef>
              <c:f>Sheet8!$B$4:$B$8</c:f>
              <c:numCache>
                <c:formatCode>General</c:formatCode>
                <c:ptCount val="4"/>
                <c:pt idx="0">
                  <c:v>0</c:v>
                </c:pt>
                <c:pt idx="1">
                  <c:v>-31595</c:v>
                </c:pt>
                <c:pt idx="2">
                  <c:v>488795</c:v>
                </c:pt>
                <c:pt idx="3">
                  <c:v>457200</c:v>
                </c:pt>
              </c:numCache>
            </c:numRef>
          </c:val>
          <c:extLst>
            <c:ext xmlns:c16="http://schemas.microsoft.com/office/drawing/2014/chart" uri="{C3380CC4-5D6E-409C-BE32-E72D297353CC}">
              <c16:uniqueId val="{00000000-886E-4CAD-9C15-0C35327F8AD0}"/>
            </c:ext>
          </c:extLst>
        </c:ser>
        <c:ser>
          <c:idx val="1"/>
          <c:order val="1"/>
          <c:tx>
            <c:strRef>
              <c:f>Sheet8!$C$3</c:f>
              <c:strCache>
                <c:ptCount val="1"/>
                <c:pt idx="0">
                  <c:v>Sum of Financed amount</c:v>
                </c:pt>
              </c:strCache>
            </c:strRef>
          </c:tx>
          <c:spPr>
            <a:solidFill>
              <a:schemeClr val="accent2"/>
            </a:solidFill>
            <a:ln>
              <a:noFill/>
            </a:ln>
            <a:effectLst/>
          </c:spPr>
          <c:invertIfNegative val="0"/>
          <c:cat>
            <c:strRef>
              <c:f>Sheet8!$A$4:$A$8</c:f>
              <c:strCache>
                <c:ptCount val="4"/>
                <c:pt idx="0">
                  <c:v>Adjustment - Deduct Negative Balance</c:v>
                </c:pt>
                <c:pt idx="1">
                  <c:v>Refund</c:v>
                </c:pt>
                <c:pt idx="2">
                  <c:v>Sale</c:v>
                </c:pt>
                <c:pt idx="3">
                  <c:v>(blank)</c:v>
                </c:pt>
              </c:strCache>
            </c:strRef>
          </c:cat>
          <c:val>
            <c:numRef>
              <c:f>Sheet8!$C$4:$C$8</c:f>
              <c:numCache>
                <c:formatCode>General</c:formatCode>
                <c:ptCount val="4"/>
                <c:pt idx="0">
                  <c:v>0</c:v>
                </c:pt>
                <c:pt idx="1">
                  <c:v>-31595</c:v>
                </c:pt>
                <c:pt idx="2">
                  <c:v>488795</c:v>
                </c:pt>
                <c:pt idx="3">
                  <c:v>457200</c:v>
                </c:pt>
              </c:numCache>
            </c:numRef>
          </c:val>
          <c:extLst>
            <c:ext xmlns:c16="http://schemas.microsoft.com/office/drawing/2014/chart" uri="{C3380CC4-5D6E-409C-BE32-E72D297353CC}">
              <c16:uniqueId val="{00000001-886E-4CAD-9C15-0C35327F8AD0}"/>
            </c:ext>
          </c:extLst>
        </c:ser>
        <c:dLbls>
          <c:showLegendKey val="0"/>
          <c:showVal val="0"/>
          <c:showCatName val="0"/>
          <c:showSerName val="0"/>
          <c:showPercent val="0"/>
          <c:showBubbleSize val="0"/>
        </c:dLbls>
        <c:gapWidth val="219"/>
        <c:overlap val="-27"/>
        <c:axId val="2081566367"/>
        <c:axId val="2081565119"/>
      </c:barChart>
      <c:catAx>
        <c:axId val="208156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65119"/>
        <c:crosses val="autoZero"/>
        <c:auto val="1"/>
        <c:lblAlgn val="ctr"/>
        <c:lblOffset val="100"/>
        <c:noMultiLvlLbl val="0"/>
      </c:catAx>
      <c:valAx>
        <c:axId val="208156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663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1414462</xdr:colOff>
      <xdr:row>4</xdr:row>
      <xdr:rowOff>152400</xdr:rowOff>
    </xdr:from>
    <xdr:to>
      <xdr:col>7</xdr:col>
      <xdr:colOff>119062</xdr:colOff>
      <xdr:row>20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366712</xdr:colOff>
      <xdr:row>4</xdr:row>
      <xdr:rowOff>152400</xdr:rowOff>
    </xdr:from>
    <xdr:to>
      <xdr:col>9</xdr:col>
      <xdr:colOff>138112</xdr:colOff>
      <xdr:row>20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376237</xdr:colOff>
      <xdr:row>4</xdr:row>
      <xdr:rowOff>152400</xdr:rowOff>
    </xdr:from>
    <xdr:to>
      <xdr:col>5</xdr:col>
      <xdr:colOff>319087</xdr:colOff>
      <xdr:row>20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457200</xdr:colOff>
      <xdr:row>15</xdr:row>
      <xdr:rowOff>28575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238125</xdr:colOff>
      <xdr:row>2</xdr:row>
      <xdr:rowOff>9525</xdr:rowOff>
    </xdr:from>
    <xdr:to>
      <xdr:col>14</xdr:col>
      <xdr:colOff>9525</xdr:colOff>
      <xdr:row>17</xdr:row>
      <xdr:rowOff>38100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9525</xdr:colOff>
      <xdr:row>1</xdr:row>
      <xdr:rowOff>133350</xdr:rowOff>
    </xdr:from>
    <xdr:to>
      <xdr:col>21</xdr:col>
      <xdr:colOff>466725</xdr:colOff>
      <xdr:row>16</xdr:row>
      <xdr:rowOff>161925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247650</xdr:colOff>
      <xdr:row>15</xdr:row>
      <xdr:rowOff>38101</xdr:rowOff>
    </xdr:from>
    <xdr:to>
      <xdr:col>4</xdr:col>
      <xdr:colOff>352425</xdr:colOff>
      <xdr:row>26</xdr:row>
      <xdr:rowOff>19050</xdr:rowOff>
    </xdr:to>
    <mc:AlternateContent xmlns:mc="http://schemas.openxmlformats.org/markup-compatibility/2006">
      <mc:Choice xmlns:a14="http://schemas.microsoft.com/office/drawing/2010/main" Requires="a14">
        <xdr:graphicFrame macro="">
          <xdr:nvGraphicFramePr>
            <xdr:cNvPr id="5" name="Type of transaction"/>
            <xdr:cNvGraphicFramePr/>
          </xdr:nvGraphicFramePr>
          <xdr:xfrm>
            <a:off x="0" y="0"/>
            <a:ext cx="0" cy="0"/>
          </xdr:xfrm>
          <a:graphic>
            <a:graphicData uri="http://schemas.microsoft.com/office/drawing/2010/slicer">
              <sle:slicer xmlns:sle="http://schemas.microsoft.com/office/drawing/2010/slicer" name="Type of transaction"/>
            </a:graphicData>
          </a:graphic>
        </xdr:graphicFrame>
      </mc:Choice>
      <mc:Fallback>
        <xdr:sp macro="" textlink="">
          <xdr:nvSpPr>
            <xdr:cNvPr id="0" name=""/>
            <xdr:cNvSpPr>
              <a:spLocks noTextEdit="1"/>
            </xdr:cNvSpPr>
          </xdr:nvSpPr>
          <xdr:spPr>
            <a:xfrm>
              <a:off x="1619250" y="2752726"/>
              <a:ext cx="1476375" cy="1971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15</xdr:row>
      <xdr:rowOff>38101</xdr:rowOff>
    </xdr:from>
    <xdr:to>
      <xdr:col>2</xdr:col>
      <xdr:colOff>238125</xdr:colOff>
      <xdr:row>26</xdr:row>
      <xdr:rowOff>19050</xdr:rowOff>
    </xdr:to>
    <mc:AlternateContent xmlns:mc="http://schemas.openxmlformats.org/markup-compatibility/2006">
      <mc:Choice xmlns:a14="http://schemas.microsoft.com/office/drawing/2010/main" Requires="a14">
        <xdr:graphicFrame macro="">
          <xdr:nvGraphicFramePr>
            <xdr:cNvPr id="6" name="Branch Clean"/>
            <xdr:cNvGraphicFramePr/>
          </xdr:nvGraphicFramePr>
          <xdr:xfrm>
            <a:off x="0" y="0"/>
            <a:ext cx="0" cy="0"/>
          </xdr:xfrm>
          <a:graphic>
            <a:graphicData uri="http://schemas.microsoft.com/office/drawing/2010/slicer">
              <sle:slicer xmlns:sle="http://schemas.microsoft.com/office/drawing/2010/slicer" name="Branch Clean"/>
            </a:graphicData>
          </a:graphic>
        </xdr:graphicFrame>
      </mc:Choice>
      <mc:Fallback>
        <xdr:sp macro="" textlink="">
          <xdr:nvSpPr>
            <xdr:cNvPr id="0" name=""/>
            <xdr:cNvSpPr>
              <a:spLocks noTextEdit="1"/>
            </xdr:cNvSpPr>
          </xdr:nvSpPr>
          <xdr:spPr>
            <a:xfrm>
              <a:off x="1" y="2752726"/>
              <a:ext cx="1609724" cy="1971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361950</xdr:colOff>
      <xdr:row>15</xdr:row>
      <xdr:rowOff>38101</xdr:rowOff>
    </xdr:from>
    <xdr:to>
      <xdr:col>6</xdr:col>
      <xdr:colOff>409575</xdr:colOff>
      <xdr:row>26</xdr:row>
      <xdr:rowOff>19050</xdr:rowOff>
    </xdr:to>
    <mc:AlternateContent xmlns:mc="http://schemas.openxmlformats.org/markup-compatibility/2006">
      <mc:Choice xmlns:a14="http://schemas.microsoft.com/office/drawing/2010/main" Requires="a14">
        <xdr:graphicFrame macro="">
          <xdr:nvGraphicFramePr>
            <xdr:cNvPr id="7"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105150" y="2752726"/>
              <a:ext cx="1419225" cy="1971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228600</xdr:colOff>
      <xdr:row>17</xdr:row>
      <xdr:rowOff>47626</xdr:rowOff>
    </xdr:from>
    <xdr:to>
      <xdr:col>10</xdr:col>
      <xdr:colOff>0</xdr:colOff>
      <xdr:row>28</xdr:row>
      <xdr:rowOff>76201</xdr:rowOff>
    </xdr:to>
    <mc:AlternateContent xmlns:mc="http://schemas.openxmlformats.org/markup-compatibility/2006">
      <mc:Choice xmlns:a14="http://schemas.microsoft.com/office/drawing/2010/main" Requires="a14">
        <xdr:graphicFrame macro="">
          <xdr:nvGraphicFramePr>
            <xdr:cNvPr id="8" name="BreakDown Date"/>
            <xdr:cNvGraphicFramePr/>
          </xdr:nvGraphicFramePr>
          <xdr:xfrm>
            <a:off x="0" y="0"/>
            <a:ext cx="0" cy="0"/>
          </xdr:xfrm>
          <a:graphic>
            <a:graphicData uri="http://schemas.microsoft.com/office/drawing/2010/slicer">
              <sle:slicer xmlns:sle="http://schemas.microsoft.com/office/drawing/2010/slicer" name="BreakDown Date"/>
            </a:graphicData>
          </a:graphic>
        </xdr:graphicFrame>
      </mc:Choice>
      <mc:Fallback>
        <xdr:sp macro="" textlink="">
          <xdr:nvSpPr>
            <xdr:cNvPr id="0" name=""/>
            <xdr:cNvSpPr>
              <a:spLocks noTextEdit="1"/>
            </xdr:cNvSpPr>
          </xdr:nvSpPr>
          <xdr:spPr>
            <a:xfrm>
              <a:off x="5029200" y="3124201"/>
              <a:ext cx="1828800" cy="201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381000</xdr:colOff>
      <xdr:row>17</xdr:row>
      <xdr:rowOff>28576</xdr:rowOff>
    </xdr:from>
    <xdr:to>
      <xdr:col>14</xdr:col>
      <xdr:colOff>676275</xdr:colOff>
      <xdr:row>28</xdr:row>
      <xdr:rowOff>76201</xdr:rowOff>
    </xdr:to>
    <mc:AlternateContent xmlns:mc="http://schemas.openxmlformats.org/markup-compatibility/2006">
      <mc:Choice xmlns:a14="http://schemas.microsoft.com/office/drawing/2010/main" Requires="a14">
        <xdr:graphicFrame macro="">
          <xdr:nvGraphicFramePr>
            <xdr:cNvPr id="9" name="Branch"/>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8610600" y="3105151"/>
              <a:ext cx="1666875"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9524</xdr:colOff>
      <xdr:row>17</xdr:row>
      <xdr:rowOff>28576</xdr:rowOff>
    </xdr:from>
    <xdr:to>
      <xdr:col>12</xdr:col>
      <xdr:colOff>380999</xdr:colOff>
      <xdr:row>28</xdr:row>
      <xdr:rowOff>76201</xdr:rowOff>
    </xdr:to>
    <mc:AlternateContent xmlns:mc="http://schemas.openxmlformats.org/markup-compatibility/2006">
      <mc:Choice xmlns:a14="http://schemas.microsoft.com/office/drawing/2010/main" Requires="a14">
        <xdr:graphicFrame macro="">
          <xdr:nvGraphicFramePr>
            <xdr:cNvPr id="10"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6867524" y="3105151"/>
              <a:ext cx="1743075"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209550</xdr:colOff>
      <xdr:row>17</xdr:row>
      <xdr:rowOff>19050</xdr:rowOff>
    </xdr:from>
    <xdr:to>
      <xdr:col>17</xdr:col>
      <xdr:colOff>495300</xdr:colOff>
      <xdr:row>28</xdr:row>
      <xdr:rowOff>76200</xdr:rowOff>
    </xdr:to>
    <mc:AlternateContent xmlns:mc="http://schemas.openxmlformats.org/markup-compatibility/2006">
      <mc:Choice xmlns:a14="http://schemas.microsoft.com/office/drawing/2010/main" Requires="a14">
        <xdr:graphicFrame macro="">
          <xdr:nvGraphicFramePr>
            <xdr:cNvPr id="11" name="Product price"/>
            <xdr:cNvGraphicFramePr/>
          </xdr:nvGraphicFramePr>
          <xdr:xfrm>
            <a:off x="0" y="0"/>
            <a:ext cx="0" cy="0"/>
          </xdr:xfrm>
          <a:graphic>
            <a:graphicData uri="http://schemas.microsoft.com/office/drawing/2010/slicer">
              <sle:slicer xmlns:sle="http://schemas.microsoft.com/office/drawing/2010/slicer" name="Product price"/>
            </a:graphicData>
          </a:graphic>
        </xdr:graphicFrame>
      </mc:Choice>
      <mc:Fallback>
        <xdr:sp macro="" textlink="">
          <xdr:nvSpPr>
            <xdr:cNvPr id="0" name=""/>
            <xdr:cNvSpPr>
              <a:spLocks noTextEdit="1"/>
            </xdr:cNvSpPr>
          </xdr:nvSpPr>
          <xdr:spPr>
            <a:xfrm>
              <a:off x="10496550" y="3095625"/>
              <a:ext cx="1657350" cy="2047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495300</xdr:colOff>
      <xdr:row>17</xdr:row>
      <xdr:rowOff>19051</xdr:rowOff>
    </xdr:from>
    <xdr:to>
      <xdr:col>20</xdr:col>
      <xdr:colOff>47625</xdr:colOff>
      <xdr:row>28</xdr:row>
      <xdr:rowOff>85725</xdr:rowOff>
    </xdr:to>
    <mc:AlternateContent xmlns:mc="http://schemas.openxmlformats.org/markup-compatibility/2006">
      <mc:Choice xmlns:a14="http://schemas.microsoft.com/office/drawing/2010/main" Requires="a14">
        <xdr:graphicFrame macro="">
          <xdr:nvGraphicFramePr>
            <xdr:cNvPr id="12" name="Financed amount"/>
            <xdr:cNvGraphicFramePr/>
          </xdr:nvGraphicFramePr>
          <xdr:xfrm>
            <a:off x="0" y="0"/>
            <a:ext cx="0" cy="0"/>
          </xdr:xfrm>
          <a:graphic>
            <a:graphicData uri="http://schemas.microsoft.com/office/drawing/2010/slicer">
              <sle:slicer xmlns:sle="http://schemas.microsoft.com/office/drawing/2010/slicer" name="Financed amount"/>
            </a:graphicData>
          </a:graphic>
        </xdr:graphicFrame>
      </mc:Choice>
      <mc:Fallback>
        <xdr:sp macro="" textlink="">
          <xdr:nvSpPr>
            <xdr:cNvPr id="0" name=""/>
            <xdr:cNvSpPr>
              <a:spLocks noTextEdit="1"/>
            </xdr:cNvSpPr>
          </xdr:nvSpPr>
          <xdr:spPr>
            <a:xfrm>
              <a:off x="12153900" y="3095626"/>
              <a:ext cx="1609725" cy="2057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aptop" refreshedDate="46183.018135879633" createdVersion="6" refreshedVersion="6" minRefreshableVersion="3" recordCount="80">
  <cacheSource type="worksheet">
    <worksheetSource ref="A1:AH81" sheet="Sheet1"/>
  </cacheSource>
  <cacheFields count="34">
    <cacheField name="BreakDown Date" numFmtId="0">
      <sharedItems containsNonDate="0" containsDate="1" containsString="0" containsBlank="1" minDate="2026-01-13T00:00:00" maxDate="2026-04-06T00:00:00" count="14">
        <d v="2026-01-13T00:00:00"/>
        <d v="2026-01-15T00:00:00"/>
        <d v="2026-01-21T00:00:00"/>
        <d v="2026-01-26T00:00:00"/>
        <d v="2026-02-02T00:00:00"/>
        <d v="2026-02-10T00:00:00"/>
        <d v="2026-02-17T00:00:00"/>
        <d v="2026-02-24T00:00:00"/>
        <d v="2026-03-09T00:00:00"/>
        <d v="2026-03-15T00:00:00"/>
        <d v="2026-03-24T00:00:00"/>
        <d v="2026-03-26T00:00:00"/>
        <d v="2026-04-05T00:00:00"/>
        <m/>
      </sharedItems>
    </cacheField>
    <cacheField name="Vendor &amp; Branch" numFmtId="0">
      <sharedItems containsBlank="1"/>
    </cacheField>
    <cacheField name="Type of transaction" numFmtId="0">
      <sharedItems containsBlank="1" count="4">
        <s v="Sale"/>
        <s v="Refund"/>
        <s v="Adjustment - Deduct Negative Balance"/>
        <m/>
      </sharedItems>
    </cacheField>
    <cacheField name="Profito reference" numFmtId="0">
      <sharedItems containsBlank="1"/>
    </cacheField>
    <cacheField name="Vendor" numFmtId="0">
      <sharedItems containsBlank="1"/>
    </cacheField>
    <cacheField name="Vendor brand" numFmtId="0">
      <sharedItems containsBlank="1"/>
    </cacheField>
    <cacheField name="Vendor name" numFmtId="0">
      <sharedItems containsBlank="1"/>
    </cacheField>
    <cacheField name="Loan number" numFmtId="0">
      <sharedItems containsBlank="1"/>
    </cacheField>
    <cacheField name="Purchase ID" numFmtId="0">
      <sharedItems containsBlank="1" containsMixedTypes="1" containsNumber="1" containsInteger="1" minValue="-2141767637" maxValue="2145962464"/>
    </cacheField>
    <cacheField name="Purchases code" numFmtId="0">
      <sharedItems containsBlank="1" containsMixedTypes="1" containsNumber="1" containsInteger="1" minValue="101265940835" maxValue="3101265061638060"/>
    </cacheField>
    <cacheField name="Date of purchase" numFmtId="14">
      <sharedItems containsDate="1" containsBlank="1" containsMixedTypes="1" minDate="2025-12-21T21:28:24" maxDate="2026-03-26T02:11:13"/>
    </cacheField>
    <cacheField name="Product price" numFmtId="43">
      <sharedItems containsSemiMixedTypes="0" containsString="0" containsNumber="1" containsInteger="1" minValue="-21600" maxValue="457200" count="70">
        <n v="4410"/>
        <n v="7420"/>
        <n v="1890"/>
        <n v="3080"/>
        <n v="4930"/>
        <n v="8640"/>
        <n v="3915"/>
        <n v="8100"/>
        <n v="1500"/>
        <n v="3600"/>
        <n v="14040"/>
        <n v="1900"/>
        <n v="7990"/>
        <n v="4850"/>
        <n v="2250"/>
        <n v="2290"/>
        <n v="12865"/>
        <n v="3980"/>
        <n v="3950"/>
        <n v="4450"/>
        <n v="5400"/>
        <n v="6450"/>
        <n v="4785"/>
        <n v="2650"/>
        <n v="2375"/>
        <n v="4765"/>
        <n v="49340"/>
        <n v="3850"/>
        <n v="21600"/>
        <n v="2400"/>
        <n v="4275"/>
        <n v="3210"/>
        <n v="4145"/>
        <n v="750"/>
        <n v="4315"/>
        <n v="5680"/>
        <n v="3880"/>
        <n v="2890"/>
        <n v="5610"/>
        <n v="7500"/>
        <n v="150"/>
        <n v="3220"/>
        <n v="-5680"/>
        <n v="-4315"/>
        <n v="-21600"/>
        <n v="3580"/>
        <n v="2850"/>
        <n v="3790"/>
        <n v="0"/>
        <n v="3000"/>
        <n v="7700"/>
        <n v="28050"/>
        <n v="17590"/>
        <n v="4615"/>
        <n v="17765"/>
        <n v="6425"/>
        <n v="4500"/>
        <n v="5670"/>
        <n v="8000"/>
        <n v="2295"/>
        <n v="3230"/>
        <n v="7430"/>
        <n v="10000"/>
        <n v="4300"/>
        <n v="9040"/>
        <n v="4600"/>
        <n v="34100"/>
        <n v="4530"/>
        <n v="6660"/>
        <n v="457200"/>
      </sharedItems>
    </cacheField>
    <cacheField name="Down payment" numFmtId="43">
      <sharedItems containsSemiMixedTypes="0" containsString="0" containsNumber="1" containsInteger="1" minValue="0" maxValue="0"/>
    </cacheField>
    <cacheField name="Financed amount" numFmtId="43">
      <sharedItems containsSemiMixedTypes="0" containsString="0" containsNumber="1" containsInteger="1" minValue="-21600" maxValue="457200" count="70">
        <n v="4410"/>
        <n v="7420"/>
        <n v="1890"/>
        <n v="3080"/>
        <n v="4930"/>
        <n v="8640"/>
        <n v="3915"/>
        <n v="8100"/>
        <n v="1500"/>
        <n v="3600"/>
        <n v="14040"/>
        <n v="1900"/>
        <n v="7990"/>
        <n v="4850"/>
        <n v="2250"/>
        <n v="2290"/>
        <n v="12865"/>
        <n v="3980"/>
        <n v="3950"/>
        <n v="4450"/>
        <n v="5400"/>
        <n v="6450"/>
        <n v="4785"/>
        <n v="2650"/>
        <n v="2375"/>
        <n v="4765"/>
        <n v="49340"/>
        <n v="3850"/>
        <n v="21600"/>
        <n v="2400"/>
        <n v="4275"/>
        <n v="3210"/>
        <n v="4145"/>
        <n v="750"/>
        <n v="4315"/>
        <n v="5680"/>
        <n v="3880"/>
        <n v="2890"/>
        <n v="5610"/>
        <n v="7500"/>
        <n v="150"/>
        <n v="3220"/>
        <n v="-5680"/>
        <n v="-4315"/>
        <n v="-21600"/>
        <n v="3580"/>
        <n v="2850"/>
        <n v="3790"/>
        <n v="0"/>
        <n v="3000"/>
        <n v="7700"/>
        <n v="28050"/>
        <n v="17590"/>
        <n v="4615"/>
        <n v="17765"/>
        <n v="6425"/>
        <n v="4500"/>
        <n v="5670"/>
        <n v="8000"/>
        <n v="2295"/>
        <n v="3230"/>
        <n v="7430"/>
        <n v="10000"/>
        <n v="4300"/>
        <n v="9040"/>
        <n v="4600"/>
        <n v="34100"/>
        <n v="4530"/>
        <n v="6660"/>
        <n v="457200"/>
      </sharedItems>
    </cacheField>
    <cacheField name="Calculated financed amount" numFmtId="43">
      <sharedItems containsSemiMixedTypes="0" containsString="0" containsNumber="1" containsInteger="1" minValue="-21600" maxValue="457200"/>
    </cacheField>
    <cacheField name="Fees " numFmtId="43">
      <sharedItems containsSemiMixedTypes="0" containsString="0" containsNumber="1" containsInteger="1" minValue="0" maxValue="2242"/>
    </cacheField>
    <cacheField name="Discount amount" numFmtId="43">
      <sharedItems containsSemiMixedTypes="0" containsString="0" containsNumber="1" minValue="-648" maxValue="13716.000000000002"/>
    </cacheField>
    <cacheField name="Fees adjustments" numFmtId="43">
      <sharedItems containsSemiMixedTypes="0" containsString="0" containsNumber="1" containsInteger="1" minValue="0" maxValue="0"/>
    </cacheField>
    <cacheField name="Rebate adjustments" numFmtId="43">
      <sharedItems containsSemiMixedTypes="0" containsString="0" containsNumber="1" containsInteger="1" minValue="0" maxValue="0"/>
    </cacheField>
    <cacheField name="General adjustments" numFmtId="43">
      <sharedItems containsSemiMixedTypes="0" containsString="0" containsNumber="1" containsInteger="1" minValue="0" maxValue="0"/>
    </cacheField>
    <cacheField name="Settled amount" numFmtId="43">
      <sharedItems containsSemiMixedTypes="0" containsString="0" containsNumber="1" minValue="-20952" maxValue="428059.7"/>
    </cacheField>
    <cacheField name="Rebate" numFmtId="9">
      <sharedItems containsBlank="1" containsMixedTypes="1" containsNumber="1" minValue="0.03" maxValue="3.0000000000000002E-2"/>
    </cacheField>
    <cacheField name="Fees %" numFmtId="9">
      <sharedItems containsBlank="1" containsMixedTypes="1" containsNumber="1" minValue="0" maxValue="3.0158730158730159E-2"/>
    </cacheField>
    <cacheField name="Tenor" numFmtId="0">
      <sharedItems containsBlank="1" containsMixedTypes="1" containsNumber="1" containsInteger="1" minValue="1" maxValue="36"/>
    </cacheField>
    <cacheField name="Refund Date" numFmtId="14">
      <sharedItems containsDate="1" containsBlank="1" containsMixedTypes="1" minDate="2026-02-16T00:00:00" maxDate="2026-02-24T00:00:00"/>
    </cacheField>
    <cacheField name="Branch" numFmtId="0">
      <sharedItems containsBlank="1" count="8">
        <s v="Image Watches - October - Mall of Arabia"/>
        <s v="Image watches - Alexandria - City Center Alexandria"/>
        <s v="Image watches - New Cairo - Cairo Festival City"/>
        <s v="Image watches - Nasr City - City Stars Mall"/>
        <s v="Image watches - Heliopolis - City Center Almaza"/>
        <s v="Ecommerce"/>
        <s v="-"/>
        <m/>
      </sharedItems>
    </cacheField>
    <cacheField name="Customer name" numFmtId="0">
      <sharedItems containsBlank="1" count="74">
        <s v="Hadeel osama Ashmawi"/>
        <s v="محمد محمود جمال الدين حسيب"/>
        <s v="Waad Osama Abdelkader Ashmawi"/>
        <s v="ايمان فتحى نصر احمد عبدالعال"/>
        <s v="هيثم مأمون احمد شوشه"/>
        <s v="samar mounier arafa"/>
        <s v="عمر قاسم حسن قاسم"/>
        <s v="Shereen Essam el din Mostafa Mohamed said Ahmed elmaslami "/>
        <s v="Lobna Wahid Shehab"/>
        <s v="Mostafa Ibrahim Mohamed Ismail "/>
        <s v="Mohammed mahmoud Melegy"/>
        <s v="عبدالله وائل عبدالله بيومى"/>
        <s v="كرستين سعد نصيف دميان"/>
        <s v="mohamed saad eltody"/>
        <s v="Mariam Maged Mahmoud Hamdy"/>
        <s v="محمود احمد احمد محمد بدر"/>
        <s v="lekaa mabrouk nazem moursi"/>
        <s v="سلمى محمد شعبان فهمى شطا"/>
        <s v="أدم مصطفى محمد السيد"/>
        <s v="هناء محمد عبدالرحمن احمد يسن"/>
        <s v="كيرلس ناصر عطاس  عبدالملاك"/>
        <s v="ماجده ابراهيم عيد عبدالسلام"/>
        <s v="Basma Amin Zaki Ibrahim"/>
        <s v="tammy samir elsayed"/>
        <s v="Andrew Usama Zaky"/>
        <s v="دينا احمد سليم عليوه المسلمى"/>
        <s v="نور ايمن صابر عويس"/>
        <s v="ريهام صلاح على محمد زايد"/>
        <s v="sedeek tarek sedeek alam el deen"/>
        <s v="Ahmed fawzi shehata Mahmoud"/>
        <s v="Fady Aiman Fayek Soliman"/>
        <s v="nada helmy Mahmoud ahmden"/>
        <s v="Lujain Ashraf Elsabagh"/>
        <s v="Rana mohamed Atef Bassiouny Mohamed"/>
        <s v="Omar Ahmed Rawash"/>
        <s v="Ghada Mohamed Abou zaid Mohamed Mohamed "/>
        <s v="Amr saleh mohamed"/>
        <s v="hoda mohamed Tarraf"/>
        <s v="يوسف صلاح عباس  رمضان حسن"/>
        <s v="Nesma Mohamed El Shazly"/>
        <s v="نورهان جلال عبدالفتاح الجمل"/>
        <s v="Mohamed Mahmoud Abdallah"/>
        <s v="مايكل ماجد فاروق انيي"/>
        <s v="نورهان ماهر عبدالوهاب محمد حجاج"/>
        <s v="shayam mohmed elsyaed Mohmed "/>
        <s v="Maha abd el hameed sharafeldin"/>
        <s v="دينا زياد احمد صبرى"/>
        <s v="Dalia Abdelsalam Abdelsalam Elaskary"/>
        <s v="-"/>
        <s v="Omar  Mohamed Arafa"/>
        <s v="Youssif Khaled Badr"/>
        <s v="محمد مصطفى احمدصلاح الدين محمد"/>
        <s v="كمال محى الدين عبدالحميد عبدالقادر"/>
        <s v="Rimonda Medhat Milad Wanis"/>
        <s v="داليا جمال الدين عبدالحميد رمضان"/>
        <s v="walaa Hassan Mohamed sakr"/>
        <s v="mahmoud assem badra"/>
        <s v="mohamed adel gaafar"/>
        <s v="raghda abdel halim helmy kamh"/>
        <s v="مروان عبدالرحمن فهمى عبدالرحمن ابوغنيم"/>
        <s v="dina Abdallah Mohamad elshnawy"/>
        <s v="وليد محمود عبدالخالق محمود"/>
        <s v="hend khalaf atwa khalf"/>
        <s v="سهيله خالد محمد حسين محارب"/>
        <s v="Nihal ElSayed Amer amer  ElShafeay"/>
        <s v="Annsimone George Alamir"/>
        <s v="mustafa yehya Mohammed"/>
        <s v="نهال علاءالدين محمد عبدالملك خليل"/>
        <s v="Mostafa Safwat Ibrahim Abdellatif"/>
        <s v="دينا رجب طلعت محمد محمد مصطفى"/>
        <s v="Saeed Amin El Tobgy"/>
        <s v="يمنى أحمد على محمد خاطر"/>
        <s v="منه الله نصر محمود عمر"/>
        <m/>
      </sharedItems>
    </cacheField>
    <cacheField name="Merchant Status " numFmtId="0">
      <sharedItems containsBlank="1"/>
    </cacheField>
    <cacheField name="Bank Name" numFmtId="0">
      <sharedItems containsBlank="1"/>
    </cacheField>
    <cacheField name="Bank GL" numFmtId="1">
      <sharedItems containsString="0" containsBlank="1" containsNumber="1" containsInteger="1" minValue="110900" maxValue="210922"/>
    </cacheField>
    <cacheField name="Name" numFmtId="0">
      <sharedItems containsBlank="1"/>
    </cacheField>
    <cacheField name="Notes" numFmtId="0">
      <sharedItems containsBlank="1"/>
    </cacheField>
    <cacheField name="Branch Clean" numFmtId="0">
      <sharedItems count="7">
        <s v="Mall Of Arabia"/>
        <s v="City Center Alexandria"/>
        <s v="CFC"/>
        <s v="City Stars"/>
        <s v="City Center Almaza"/>
        <s v="Ecommerce"/>
        <s v="Other"/>
      </sharedItems>
    </cacheField>
    <cacheField name="Month" numFmtId="0">
      <sharedItems count="6">
        <s v="Dec-2025"/>
        <s v="Jan-2026"/>
        <s v="Feb-2026"/>
        <s v="-"/>
        <s v="Mar-2026"/>
        <s v="Jan-19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0">
  <r>
    <x v="0"/>
    <s v="Image Watches Mall Of ArabiaImage Watches - October - Mall of Arabia"/>
    <x v="0"/>
    <s v="SET040126257408"/>
    <s v="Middle East for Trading"/>
    <s v="Middle East for Trading"/>
    <s v="Image Watches Mall Of Arabia"/>
    <s v="CL28122513337036"/>
    <n v="2051112543"/>
    <n v="2812255927837"/>
    <d v="2025-12-28T17:35:24"/>
    <x v="0"/>
    <n v="0"/>
    <x v="0"/>
    <n v="4410"/>
    <n v="133"/>
    <n v="132.30000000000001"/>
    <n v="0"/>
    <n v="0"/>
    <n v="0"/>
    <n v="4144.7"/>
    <n v="3.0000000000000002E-2"/>
    <n v="3.0158730158730159E-2"/>
    <n v="9"/>
    <s v="-"/>
    <x v="0"/>
    <x v="0"/>
    <s v="Verified"/>
    <s v="-"/>
    <n v="210922"/>
    <s v="Fatma"/>
    <e v="#VALUE!"/>
    <x v="0"/>
    <x v="0"/>
  </r>
  <r>
    <x v="0"/>
    <s v="Image Watches City Center AlexandriaImage watches - Alexandria - City Center Alexandria"/>
    <x v="0"/>
    <s v="SET281225255214"/>
    <s v="Middle East for Trading"/>
    <s v="Middle East for Trading"/>
    <s v="Image Watches City Center Alexandria"/>
    <s v="CL25122513292203"/>
    <n v="2047566795"/>
    <n v="2512255919103"/>
    <d v="2025-12-25T18:54:52"/>
    <x v="1"/>
    <n v="0"/>
    <x v="1"/>
    <n v="7420"/>
    <n v="0"/>
    <n v="222.6"/>
    <n v="0"/>
    <n v="0"/>
    <n v="0"/>
    <n v="7197.4"/>
    <n v="0.03"/>
    <n v="0"/>
    <n v="3"/>
    <s v="-"/>
    <x v="1"/>
    <x v="1"/>
    <s v="Verified"/>
    <s v="-"/>
    <n v="210922"/>
    <s v="Fatma"/>
    <s v="-"/>
    <x v="1"/>
    <x v="0"/>
  </r>
  <r>
    <x v="0"/>
    <s v="Image Watches Mall Of ArabiaImage Watches - October - Mall of Arabia"/>
    <x v="0"/>
    <s v="SET040126257408"/>
    <s v="Middle East for Trading"/>
    <s v="Middle East for Trading"/>
    <s v="Image Watches Mall Of Arabia"/>
    <s v="CL30122513367411"/>
    <n v="2054158340"/>
    <n v="3012255933252"/>
    <d v="2025-12-30T18:20:07"/>
    <x v="2"/>
    <n v="0"/>
    <x v="2"/>
    <n v="1890"/>
    <n v="0"/>
    <n v="56.7"/>
    <n v="0"/>
    <n v="0"/>
    <n v="0"/>
    <n v="1833.3"/>
    <n v="3.0000000000000002E-2"/>
    <n v="0"/>
    <n v="3"/>
    <s v="-"/>
    <x v="0"/>
    <x v="2"/>
    <s v="Verified"/>
    <s v="-"/>
    <n v="210922"/>
    <s v="Fatma"/>
    <s v="-"/>
    <x v="0"/>
    <x v="0"/>
  </r>
  <r>
    <x v="0"/>
    <s v="Image Watches City Center AlexandriaImage watches - Alexandria - City Center Alexandria"/>
    <x v="0"/>
    <s v="SET281225255214"/>
    <s v="Middle East for Trading"/>
    <s v="Middle East for Trading"/>
    <s v="Image Watches City Center Alexandria"/>
    <s v="CL23122513261296"/>
    <n v="2044315282"/>
    <n v="2312255912379"/>
    <d v="2025-12-23T20:13:29"/>
    <x v="3"/>
    <n v="0"/>
    <x v="3"/>
    <n v="3080"/>
    <n v="0"/>
    <n v="92.4"/>
    <n v="0"/>
    <n v="0"/>
    <n v="0"/>
    <n v="2987.6"/>
    <n v="3.0000000000000002E-2"/>
    <n v="0"/>
    <n v="1"/>
    <s v="-"/>
    <x v="1"/>
    <x v="3"/>
    <s v="Verified"/>
    <s v="-"/>
    <n v="210922"/>
    <s v="Fatma"/>
    <s v="-"/>
    <x v="1"/>
    <x v="0"/>
  </r>
  <r>
    <x v="0"/>
    <s v="Image Watches Mall Of ArabiaImage Watches - October - Mall of Arabia"/>
    <x v="0"/>
    <s v="SET281225255215"/>
    <s v="Middle East for Trading"/>
    <s v="Middle East for Trading"/>
    <s v="Image Watches Mall Of Arabia"/>
    <s v="CL27122513320529"/>
    <n v="2049635203"/>
    <n v="2712255924779"/>
    <d v="2025-12-27T16:23:19"/>
    <x v="4"/>
    <n v="0"/>
    <x v="4"/>
    <n v="4930"/>
    <n v="148"/>
    <n v="147.9"/>
    <n v="0"/>
    <n v="0"/>
    <n v="0"/>
    <n v="4634.1000000000004"/>
    <n v="3.0000000000000002E-2"/>
    <n v="3.0020283975659229E-2"/>
    <n v="12"/>
    <s v="-"/>
    <x v="0"/>
    <x v="4"/>
    <s v="Verified"/>
    <s v="-"/>
    <n v="210922"/>
    <s v="Fatma"/>
    <s v="-"/>
    <x v="0"/>
    <x v="0"/>
  </r>
  <r>
    <x v="0"/>
    <s v="Image Watches City Center AlexandriaImage watches - Alexandria - City Center Alexandria"/>
    <x v="0"/>
    <s v="SET281225255214"/>
    <s v="Middle East for Trading"/>
    <s v="Middle East for Trading"/>
    <s v="Image Watches City Center Alexandria"/>
    <s v="CL21122513231142"/>
    <n v="2042239007"/>
    <n v="2112255907404"/>
    <d v="2025-12-21T21:28:24"/>
    <x v="5"/>
    <n v="0"/>
    <x v="5"/>
    <n v="8640"/>
    <n v="260"/>
    <n v="259.2"/>
    <n v="0"/>
    <n v="0"/>
    <n v="0"/>
    <n v="8120.8"/>
    <n v="0.03"/>
    <n v="3.0092592592592591E-2"/>
    <n v="6"/>
    <s v="-"/>
    <x v="1"/>
    <x v="5"/>
    <s v="Verified"/>
    <s v="-"/>
    <n v="210922"/>
    <s v="Fatma"/>
    <s v="-"/>
    <x v="1"/>
    <x v="0"/>
  </r>
  <r>
    <x v="0"/>
    <s v="Image Watches Mall Of ArabiaImage Watches - October - Mall of Arabia"/>
    <x v="0"/>
    <s v="SET040126257408"/>
    <s v="Middle East for Trading"/>
    <s v="Middle East for Trading"/>
    <s v="Image Watches Mall Of Arabia"/>
    <s v="CL01012613402411"/>
    <n v="2063468135"/>
    <n v="101265940835"/>
    <d v="2026-01-01T20:16:48"/>
    <x v="6"/>
    <n v="0"/>
    <x v="6"/>
    <n v="3915"/>
    <n v="118"/>
    <n v="117.45"/>
    <n v="0"/>
    <n v="0"/>
    <n v="0"/>
    <n v="3679.55"/>
    <n v="3.0000000000000002E-2"/>
    <n v="3.0140485312899108E-2"/>
    <n v="6"/>
    <s v="-"/>
    <x v="0"/>
    <x v="6"/>
    <s v="Verified"/>
    <s v="-"/>
    <n v="210922"/>
    <s v="Fatma"/>
    <s v="-"/>
    <x v="0"/>
    <x v="1"/>
  </r>
  <r>
    <x v="1"/>
    <s v="Image Watches CFCImage watches - New Cairo - Cairo Festival City"/>
    <x v="0"/>
    <s v="SET110126259106"/>
    <s v="Middle East for Trading"/>
    <s v="Middle East for Trading"/>
    <s v="Image Watches CFC"/>
    <s v="CL08012613522031"/>
    <n v="2091535571"/>
    <n v="801265966618"/>
    <d v="2026-01-08T13:02:37"/>
    <x v="7"/>
    <n v="0"/>
    <x v="7"/>
    <n v="8100"/>
    <n v="0"/>
    <n v="243"/>
    <n v="0"/>
    <n v="0"/>
    <n v="0"/>
    <n v="7857"/>
    <n v="0.03"/>
    <n v="0"/>
    <n v="3"/>
    <s v="-"/>
    <x v="2"/>
    <x v="7"/>
    <s v="Verified"/>
    <s v="-"/>
    <n v="210915"/>
    <s v="M ElMahdy"/>
    <s v="-"/>
    <x v="2"/>
    <x v="1"/>
  </r>
  <r>
    <x v="1"/>
    <s v="Image Watches City Center AlexandriaImage watches - Alexandria - City Center Alexandria"/>
    <x v="0"/>
    <s v="SET110126259107"/>
    <s v="Middle East for Trading"/>
    <s v="Middle East for Trading"/>
    <s v="Image Watches City Center Alexandria"/>
    <s v="CL10012613562157"/>
    <n v="2093915312"/>
    <n v="1001265977166"/>
    <d v="2026-01-10T17:08:32"/>
    <x v="8"/>
    <n v="0"/>
    <x v="8"/>
    <n v="1500"/>
    <n v="0"/>
    <n v="45"/>
    <n v="0"/>
    <n v="0"/>
    <n v="0"/>
    <n v="1455"/>
    <n v="0.03"/>
    <n v="0"/>
    <n v="3"/>
    <s v="-"/>
    <x v="1"/>
    <x v="8"/>
    <s v="Verified"/>
    <s v="-"/>
    <n v="210915"/>
    <s v="M ElMahdy"/>
    <s v="-"/>
    <x v="1"/>
    <x v="1"/>
  </r>
  <r>
    <x v="1"/>
    <s v="Image Watches CFCImage watches - New Cairo - Cairo Festival City"/>
    <x v="0"/>
    <s v="SET110126259106"/>
    <s v="Middle East for Trading"/>
    <s v="Middle East for Trading"/>
    <s v="Image Watches CFC"/>
    <s v="CL05012613473974"/>
    <n v="2086452255"/>
    <n v="501265957165"/>
    <d v="2026-01-05T17:43:54"/>
    <x v="9"/>
    <n v="0"/>
    <x v="9"/>
    <n v="3600"/>
    <n v="0"/>
    <n v="108"/>
    <n v="0"/>
    <n v="0"/>
    <n v="0"/>
    <n v="3492"/>
    <n v="0.03"/>
    <n v="0"/>
    <n v="3"/>
    <s v="-"/>
    <x v="2"/>
    <x v="9"/>
    <s v="Verified"/>
    <s v="-"/>
    <n v="210915"/>
    <s v="M ElMahdy"/>
    <s v="-"/>
    <x v="2"/>
    <x v="1"/>
  </r>
  <r>
    <x v="2"/>
    <s v="Image Watches City StarsImage watches - Nasr City - City Stars Mall"/>
    <x v="0"/>
    <s v="SET180126260659"/>
    <s v="Middle East for Trading"/>
    <s v="Middle East for Trading"/>
    <s v="Image Watches City Stars"/>
    <s v="CL11012613578182"/>
    <n v="2094955295"/>
    <n v="1101265980845"/>
    <d v="2026-01-11T17:00:47"/>
    <x v="10"/>
    <n v="0"/>
    <x v="10"/>
    <n v="14040"/>
    <n v="422"/>
    <n v="421.2"/>
    <n v="0"/>
    <n v="0"/>
    <n v="0"/>
    <n v="13196.8"/>
    <n v="0.03"/>
    <n v="3.0056980056980057E-2"/>
    <n v="9"/>
    <s v="-"/>
    <x v="3"/>
    <x v="10"/>
    <s v="Verified"/>
    <s v="-"/>
    <n v="210907"/>
    <s v="M ElMahdy"/>
    <s v="-"/>
    <x v="3"/>
    <x v="1"/>
  </r>
  <r>
    <x v="2"/>
    <s v="Image Watches City Center AlmazaImage watches - Heliopolis - City Center Almaza"/>
    <x v="0"/>
    <s v="SET180126260658"/>
    <s v="Middle East for Trading"/>
    <s v="Middle East for Trading"/>
    <s v="Image Watches City Center Almaza"/>
    <s v="CL12012613592321"/>
    <n v="2096023062"/>
    <n v="1201265983007"/>
    <d v="2026-01-12T16:32:33"/>
    <x v="11"/>
    <n v="0"/>
    <x v="11"/>
    <n v="1900"/>
    <n v="57"/>
    <n v="57"/>
    <n v="0"/>
    <n v="0"/>
    <n v="0"/>
    <n v="1786"/>
    <n v="0.03"/>
    <n v="0.03"/>
    <n v="9"/>
    <s v="-"/>
    <x v="4"/>
    <x v="11"/>
    <s v="Verified"/>
    <s v="-"/>
    <n v="210907"/>
    <s v="M ElMahdy"/>
    <s v="-"/>
    <x v="4"/>
    <x v="1"/>
  </r>
  <r>
    <x v="2"/>
    <s v="Image Watches City Center AlmazaImage watches - Heliopolis - City Center Almaza"/>
    <x v="0"/>
    <s v="SET180126260658"/>
    <s v="Middle East for Trading"/>
    <s v="Middle East for Trading"/>
    <s v="Image Watches City Center Almaza"/>
    <s v="CL14012613616825"/>
    <n v="2097739975"/>
    <n v="1401265986857"/>
    <d v="2026-01-14T11:10:24"/>
    <x v="12"/>
    <n v="0"/>
    <x v="12"/>
    <n v="7990"/>
    <n v="240"/>
    <n v="239.7"/>
    <n v="0"/>
    <n v="0"/>
    <n v="0"/>
    <n v="7510.3"/>
    <n v="0.03"/>
    <n v="3.0037546933667083E-2"/>
    <n v="6"/>
    <s v="-"/>
    <x v="4"/>
    <x v="12"/>
    <s v="Verified"/>
    <s v="-"/>
    <n v="210907"/>
    <s v="M ElMahdy"/>
    <s v="-"/>
    <x v="4"/>
    <x v="1"/>
  </r>
  <r>
    <x v="3"/>
    <s v="Image Watches City Center AlexandriaImage watches - Alexandria - City Center Alexandria"/>
    <x v="0"/>
    <s v="SET250126261505"/>
    <s v="Middle East for Trading"/>
    <s v="Middle East for Trading"/>
    <s v="Image Watches City Center Alexandria"/>
    <s v="CL22012613770790"/>
    <n v="2108274051"/>
    <n v="2201266022518"/>
    <d v="2026-01-22T15:35:29"/>
    <x v="13"/>
    <n v="0"/>
    <x v="13"/>
    <n v="4850"/>
    <n v="0"/>
    <n v="145.5"/>
    <n v="0"/>
    <n v="0"/>
    <n v="0"/>
    <n v="4704.5"/>
    <n v="0.03"/>
    <n v="0"/>
    <n v="1"/>
    <s v="-"/>
    <x v="1"/>
    <x v="13"/>
    <s v="Verified"/>
    <s v="-"/>
    <n v="210907"/>
    <s v="M Ashour"/>
    <s v="-"/>
    <x v="1"/>
    <x v="1"/>
  </r>
  <r>
    <x v="4"/>
    <s v="Pandora EcommerceEcommerce"/>
    <x v="0"/>
    <s v="SET010226262253"/>
    <s v="Middle East for Trading"/>
    <s v="Middle East for Trading"/>
    <s v="Pandora Ecommerce"/>
    <s v="CL30012613900879"/>
    <n v="2119626582"/>
    <n v="3001265049108250"/>
    <d v="2026-01-30T10:11:30"/>
    <x v="14"/>
    <n v="0"/>
    <x v="14"/>
    <n v="2250"/>
    <n v="0"/>
    <n v="67.5"/>
    <n v="0"/>
    <n v="0"/>
    <n v="0"/>
    <n v="2182.5"/>
    <n v="0.03"/>
    <n v="0"/>
    <n v="6"/>
    <s v="-"/>
    <x v="5"/>
    <x v="14"/>
    <s v="Verified"/>
    <s v="-"/>
    <n v="210907"/>
    <s v="M Ashour"/>
    <s v="-"/>
    <x v="5"/>
    <x v="1"/>
  </r>
  <r>
    <x v="4"/>
    <s v="Image Watches City Center AlexandriaImage watches - Alexandria - City Center Alexandria"/>
    <x v="0"/>
    <s v="SET010226262251"/>
    <s v="Middle East for Trading"/>
    <s v="Middle East for Trading"/>
    <s v="Image Watches City Center Alexandria"/>
    <s v="CL25012613831903"/>
    <n v="2112466425"/>
    <n v="2501266036321"/>
    <d v="2026-01-25T21:22:23"/>
    <x v="15"/>
    <n v="0"/>
    <x v="15"/>
    <n v="2290"/>
    <n v="0"/>
    <n v="68.7"/>
    <n v="0"/>
    <n v="0"/>
    <n v="0"/>
    <n v="2221.3000000000002"/>
    <n v="3.0000000000000002E-2"/>
    <n v="0"/>
    <n v="6"/>
    <s v="-"/>
    <x v="1"/>
    <x v="15"/>
    <s v="Verified"/>
    <s v="-"/>
    <n v="210907"/>
    <s v="M Ashour"/>
    <s v="-"/>
    <x v="1"/>
    <x v="1"/>
  </r>
  <r>
    <x v="4"/>
    <s v="Image Watches City Center AlmazaImage watches - Heliopolis - City Center Almaza"/>
    <x v="0"/>
    <s v="SET010226262252"/>
    <s v="Middle East for Trading"/>
    <s v="Middle East for Trading"/>
    <s v="Image Watches City Center Almaza"/>
    <s v="CL28012613880713"/>
    <n v="2117732202"/>
    <n v="2801266046927"/>
    <d v="2026-01-28T22:09:28"/>
    <x v="16"/>
    <n v="0"/>
    <x v="16"/>
    <n v="12865"/>
    <n v="0"/>
    <n v="385.95"/>
    <n v="0"/>
    <n v="0"/>
    <n v="0"/>
    <n v="12479.05"/>
    <n v="0.03"/>
    <n v="0"/>
    <n v="6"/>
    <s v="-"/>
    <x v="4"/>
    <x v="16"/>
    <s v="Verified"/>
    <s v="-"/>
    <n v="210907"/>
    <s v="M Ashour"/>
    <s v="-"/>
    <x v="4"/>
    <x v="1"/>
  </r>
  <r>
    <x v="4"/>
    <s v="Pandora EcommerceEcommerce"/>
    <x v="0"/>
    <s v="SET010226262253"/>
    <s v="Middle East for Trading"/>
    <s v="Middle East for Trading"/>
    <s v="Pandora Ecommerce"/>
    <s v="CL29012613896972"/>
    <n v="2119287799"/>
    <n v="2901265047345330"/>
    <d v="2026-01-29T22:24:57"/>
    <x v="17"/>
    <n v="0"/>
    <x v="17"/>
    <n v="3980"/>
    <n v="0"/>
    <n v="119.4"/>
    <n v="0"/>
    <n v="0"/>
    <n v="0"/>
    <n v="3860.6"/>
    <n v="3.0000000000000002E-2"/>
    <n v="0"/>
    <n v="1"/>
    <s v="-"/>
    <x v="5"/>
    <x v="17"/>
    <s v="Verified"/>
    <s v="-"/>
    <n v="210907"/>
    <s v="M Ashour"/>
    <s v="-"/>
    <x v="5"/>
    <x v="1"/>
  </r>
  <r>
    <x v="4"/>
    <s v="Pandora EcommerceEcommerce"/>
    <x v="0"/>
    <s v="SET010226262253"/>
    <s v="Middle East for Trading"/>
    <s v="Middle East for Trading"/>
    <s v="Pandora Ecommerce"/>
    <s v="CL26012613845976"/>
    <n v="2113782110"/>
    <n v="2601265026152840"/>
    <d v="2026-01-26T19:23:35"/>
    <x v="18"/>
    <n v="0"/>
    <x v="18"/>
    <n v="3950"/>
    <n v="0"/>
    <n v="118.5"/>
    <n v="0"/>
    <n v="0"/>
    <n v="0"/>
    <n v="3831.5"/>
    <n v="0.03"/>
    <n v="0"/>
    <n v="3"/>
    <s v="-"/>
    <x v="5"/>
    <x v="18"/>
    <s v="Verified"/>
    <s v="-"/>
    <n v="210907"/>
    <s v="M Ashour"/>
    <s v="-"/>
    <x v="5"/>
    <x v="1"/>
  </r>
  <r>
    <x v="4"/>
    <s v="Pandora EcommerceEcommerce"/>
    <x v="0"/>
    <s v="SET010226262253"/>
    <s v="Middle East for Trading"/>
    <s v="Middle East for Trading"/>
    <s v="Pandora Ecommerce"/>
    <s v="CL28012613877807"/>
    <n v="2117420069"/>
    <n v="2801265039703070"/>
    <d v="2026-01-28T19:37:09"/>
    <x v="18"/>
    <n v="0"/>
    <x v="18"/>
    <n v="3950"/>
    <n v="0"/>
    <n v="118.5"/>
    <n v="0"/>
    <n v="0"/>
    <n v="0"/>
    <n v="3831.5"/>
    <n v="0.03"/>
    <n v="0"/>
    <n v="12"/>
    <s v="-"/>
    <x v="5"/>
    <x v="19"/>
    <s v="Verified"/>
    <s v="-"/>
    <n v="210907"/>
    <s v="M Ashour"/>
    <s v="-"/>
    <x v="5"/>
    <x v="1"/>
  </r>
  <r>
    <x v="4"/>
    <s v="Pandora EcommerceEcommerce"/>
    <x v="0"/>
    <s v="SET010226262253"/>
    <s v="Middle East for Trading"/>
    <s v="Middle East for Trading"/>
    <s v="Pandora Ecommerce"/>
    <s v="CL29012613895521"/>
    <n v="2119182440"/>
    <n v="2901265046868650"/>
    <d v="2026-01-29T21:08:05"/>
    <x v="19"/>
    <n v="0"/>
    <x v="19"/>
    <n v="4450"/>
    <n v="0"/>
    <n v="133.5"/>
    <n v="0"/>
    <n v="0"/>
    <n v="0"/>
    <n v="4316.5"/>
    <n v="0.03"/>
    <n v="0"/>
    <n v="1"/>
    <s v="-"/>
    <x v="5"/>
    <x v="20"/>
    <s v="Verified"/>
    <s v="-"/>
    <n v="210907"/>
    <s v="M Ashour"/>
    <s v="-"/>
    <x v="5"/>
    <x v="1"/>
  </r>
  <r>
    <x v="4"/>
    <s v="Pandora EcommerceEcommerce"/>
    <x v="0"/>
    <s v="SET010226262253"/>
    <s v="Middle East for Trading"/>
    <s v="Middle East for Trading"/>
    <s v="Pandora Ecommerce"/>
    <s v="CL31012613916211"/>
    <n v="2120810855"/>
    <n v="3101265055151530"/>
    <d v="2026-01-31T02:40:52"/>
    <x v="20"/>
    <n v="0"/>
    <x v="20"/>
    <n v="5400"/>
    <n v="0"/>
    <n v="162"/>
    <n v="0"/>
    <n v="0"/>
    <n v="0"/>
    <n v="5238"/>
    <n v="0.03"/>
    <n v="0"/>
    <n v="3"/>
    <s v="-"/>
    <x v="5"/>
    <x v="21"/>
    <s v="Verified"/>
    <s v="-"/>
    <n v="210907"/>
    <s v="M Ashour"/>
    <s v="-"/>
    <x v="5"/>
    <x v="1"/>
  </r>
  <r>
    <x v="4"/>
    <s v="Pandora EcommerceEcommerce"/>
    <x v="0"/>
    <s v="SET010226262253"/>
    <s v="Middle East for Trading"/>
    <s v="Middle East for Trading"/>
    <s v="Pandora Ecommerce"/>
    <s v="CL31012613932621"/>
    <n v="2122274105"/>
    <n v="3101265061638060"/>
    <d v="2026-01-31T23:58:53"/>
    <x v="21"/>
    <n v="0"/>
    <x v="21"/>
    <n v="6450"/>
    <n v="0"/>
    <n v="193.5"/>
    <n v="0"/>
    <n v="0"/>
    <n v="0"/>
    <n v="6256.5"/>
    <n v="0.03"/>
    <n v="0"/>
    <n v="9"/>
    <s v="-"/>
    <x v="5"/>
    <x v="22"/>
    <s v="Verified"/>
    <s v="-"/>
    <n v="210907"/>
    <s v="M Ashour"/>
    <s v="-"/>
    <x v="5"/>
    <x v="1"/>
  </r>
  <r>
    <x v="5"/>
    <s v="Pandora EcommerceEcommerce"/>
    <x v="0"/>
    <s v="SET080226265073"/>
    <s v="Middle East for Trading"/>
    <s v="Middle East for Trading"/>
    <s v="Pandora Ecommerce"/>
    <s v="CL07022614073627"/>
    <n v="-2133207381"/>
    <n v="702265124234956"/>
    <d v="2026-02-07T20:55:23"/>
    <x v="22"/>
    <n v="0"/>
    <x v="22"/>
    <n v="4785"/>
    <n v="0"/>
    <n v="143.55000000000001"/>
    <n v="0"/>
    <n v="0"/>
    <n v="0"/>
    <n v="4641.45"/>
    <n v="3.0000000000000002E-2"/>
    <n v="0"/>
    <n v="24"/>
    <s v="-"/>
    <x v="5"/>
    <x v="23"/>
    <s v="Verified"/>
    <s v="-"/>
    <n v="210907"/>
    <s v="M ElMahdy"/>
    <s v="-"/>
    <x v="5"/>
    <x v="2"/>
  </r>
  <r>
    <x v="5"/>
    <s v="Pandora EcommerceEcommerce"/>
    <x v="0"/>
    <s v="SET080226265073"/>
    <s v="Middle East for Trading"/>
    <s v="Middle East for Trading"/>
    <s v="Pandora Ecommerce"/>
    <s v="CL02022613972036"/>
    <n v="2144762235"/>
    <n v="202265079395529"/>
    <d v="2026-02-02T23:56:20"/>
    <x v="23"/>
    <n v="0"/>
    <x v="23"/>
    <n v="2650"/>
    <n v="0"/>
    <n v="79.5"/>
    <n v="0"/>
    <n v="0"/>
    <n v="0"/>
    <n v="2570.5"/>
    <n v="0.03"/>
    <n v="0"/>
    <n v="3"/>
    <s v="-"/>
    <x v="5"/>
    <x v="24"/>
    <s v="Verified"/>
    <s v="-"/>
    <n v="210907"/>
    <s v="M ElMahdy"/>
    <s v="-"/>
    <x v="5"/>
    <x v="2"/>
  </r>
  <r>
    <x v="5"/>
    <s v="Pandora EcommerceEcommerce"/>
    <x v="0"/>
    <s v="SET080226265073"/>
    <s v="Middle East for Trading"/>
    <s v="Middle East for Trading"/>
    <s v="Pandora Ecommerce"/>
    <s v="CL07022614067395"/>
    <n v="-2133542619"/>
    <n v="702265121557746"/>
    <d v="2026-02-07T16:40:31"/>
    <x v="24"/>
    <n v="0"/>
    <x v="24"/>
    <n v="2375"/>
    <n v="0"/>
    <n v="71.25"/>
    <n v="0"/>
    <n v="0"/>
    <n v="0"/>
    <n v="2303.75"/>
    <n v="0.03"/>
    <n v="0"/>
    <n v="1"/>
    <s v="-"/>
    <x v="5"/>
    <x v="25"/>
    <s v="Verified"/>
    <s v="-"/>
    <n v="210907"/>
    <s v="M ElMahdy"/>
    <s v="-"/>
    <x v="5"/>
    <x v="2"/>
  </r>
  <r>
    <x v="5"/>
    <s v="Image Watches Mall Of ArabiaImage Watches - October - Mall of Arabia"/>
    <x v="0"/>
    <s v="SET080226265071"/>
    <s v="Middle East for Trading"/>
    <s v="Middle East for Trading"/>
    <s v="Image Watches Mall Of Arabia"/>
    <s v="CL04022614009773"/>
    <n v="-2141767637"/>
    <n v="402266072835"/>
    <d v="2026-02-04T20:31:21"/>
    <x v="25"/>
    <n v="0"/>
    <x v="25"/>
    <n v="4765"/>
    <n v="143"/>
    <n v="142.94999999999999"/>
    <n v="0"/>
    <n v="0"/>
    <n v="0"/>
    <n v="4479.05"/>
    <n v="0.03"/>
    <n v="3.0010493179433367E-2"/>
    <n v="9"/>
    <s v="-"/>
    <x v="0"/>
    <x v="26"/>
    <s v="Verified"/>
    <s v="-"/>
    <n v="210907"/>
    <s v="M ElMahdy"/>
    <s v="-"/>
    <x v="0"/>
    <x v="2"/>
  </r>
  <r>
    <x v="5"/>
    <s v="Pandora EcommerceEcommerce"/>
    <x v="0"/>
    <s v="SET080226265073"/>
    <s v="Middle East for Trading"/>
    <s v="Middle East for Trading"/>
    <s v="Pandora Ecommerce"/>
    <s v="CL03022613973296"/>
    <n v="2145962464"/>
    <n v="302265080026514"/>
    <d v="2026-02-03T02:03:34"/>
    <x v="26"/>
    <n v="0"/>
    <x v="26"/>
    <n v="49340"/>
    <n v="0"/>
    <n v="1480.2"/>
    <n v="0"/>
    <n v="0"/>
    <n v="0"/>
    <n v="47859.8"/>
    <n v="3.0000000000000002E-2"/>
    <n v="0"/>
    <n v="12"/>
    <s v="-"/>
    <x v="5"/>
    <x v="27"/>
    <s v="Verified"/>
    <s v="-"/>
    <n v="210907"/>
    <s v="M ElMahdy"/>
    <s v="-"/>
    <x v="5"/>
    <x v="2"/>
  </r>
  <r>
    <x v="6"/>
    <s v="Pandora EcommerceEcommerce"/>
    <x v="0"/>
    <s v="SET150226266212"/>
    <s v="Middle East for Trading"/>
    <s v="Middle East for Trading"/>
    <s v="Pandora Ecommerce"/>
    <s v="CL08022614095923"/>
    <n v="-2131297654"/>
    <n v="802265134367829"/>
    <d v="2026-02-08T23:54:21"/>
    <x v="27"/>
    <n v="0"/>
    <x v="27"/>
    <n v="3850"/>
    <n v="0"/>
    <n v="115.5"/>
    <n v="0"/>
    <n v="0"/>
    <n v="0"/>
    <n v="3734.5"/>
    <n v="0.03"/>
    <n v="0"/>
    <n v="3"/>
    <s v="-"/>
    <x v="5"/>
    <x v="28"/>
    <s v="Verified"/>
    <s v="Misr MTL (2)"/>
    <n v="110900"/>
    <s v="Fatma"/>
    <s v="-"/>
    <x v="5"/>
    <x v="2"/>
  </r>
  <r>
    <x v="6"/>
    <s v="Image Watches Mall Of ArabiaImage Watches - October - Mall of Arabia"/>
    <x v="0"/>
    <s v="SET150226266211"/>
    <s v="Middle East for Trading"/>
    <s v="Middle East for Trading"/>
    <s v="Image Watches Mall Of Arabia"/>
    <s v="CL14022614211482"/>
    <n v="-2122162013"/>
    <n v="1402266111273"/>
    <d v="2026-02-14T19:59:21"/>
    <x v="28"/>
    <n v="0"/>
    <x v="28"/>
    <n v="21600"/>
    <n v="0"/>
    <n v="648"/>
    <n v="0"/>
    <n v="0"/>
    <n v="0"/>
    <n v="20952"/>
    <n v="0.03"/>
    <n v="0"/>
    <n v="6"/>
    <s v="-"/>
    <x v="0"/>
    <x v="29"/>
    <s v="Verified"/>
    <s v="Misr MTL (2)"/>
    <n v="110900"/>
    <s v="Fatma"/>
    <s v="-"/>
    <x v="0"/>
    <x v="2"/>
  </r>
  <r>
    <x v="6"/>
    <s v="Image Watches CFCImage watches - New Cairo - Cairo Festival City"/>
    <x v="0"/>
    <s v="SET150226266210"/>
    <s v="Middle East for Trading"/>
    <s v="Middle East for Trading"/>
    <s v="Image Watches CFC"/>
    <s v="CL13022614192099"/>
    <n v="-2123469267"/>
    <n v="1302266106441"/>
    <d v="2026-02-13T22:08:03"/>
    <x v="29"/>
    <n v="0"/>
    <x v="29"/>
    <n v="2400"/>
    <n v="0"/>
    <n v="72"/>
    <n v="0"/>
    <n v="0"/>
    <n v="0"/>
    <n v="2328"/>
    <n v="0.03"/>
    <n v="0"/>
    <n v="6"/>
    <s v="-"/>
    <x v="2"/>
    <x v="30"/>
    <s v="Verified"/>
    <s v="Misr MTL (2)"/>
    <n v="110900"/>
    <s v="Fatma"/>
    <s v="-"/>
    <x v="2"/>
    <x v="2"/>
  </r>
  <r>
    <x v="6"/>
    <s v="Pandora EcommerceEcommerce"/>
    <x v="0"/>
    <s v="SET150226266212"/>
    <s v="Middle East for Trading"/>
    <s v="Middle East for Trading"/>
    <s v="Pandora Ecommerce"/>
    <s v="CL14022614202113"/>
    <n v="-2122633567"/>
    <n v="1402265181356190"/>
    <d v="2026-02-14T13:40:33"/>
    <x v="30"/>
    <n v="0"/>
    <x v="30"/>
    <n v="4275"/>
    <n v="0"/>
    <n v="128.25"/>
    <n v="0"/>
    <n v="0"/>
    <n v="0"/>
    <n v="4146.75"/>
    <n v="0.03"/>
    <n v="0"/>
    <n v="6"/>
    <s v="-"/>
    <x v="5"/>
    <x v="31"/>
    <s v="Verified"/>
    <s v="Misr MTL (2)"/>
    <n v="110900"/>
    <s v="Fatma"/>
    <s v="-"/>
    <x v="5"/>
    <x v="2"/>
  </r>
  <r>
    <x v="6"/>
    <s v="Pandora EcommerceEcommerce"/>
    <x v="0"/>
    <s v="SET150226266212"/>
    <s v="Middle East for Trading"/>
    <s v="Middle East for Trading"/>
    <s v="Pandora Ecommerce"/>
    <s v="CL10022614118604"/>
    <n v="-2128922268"/>
    <n v="1002265144822910"/>
    <d v="2026-02-10T11:53:20"/>
    <x v="31"/>
    <n v="0"/>
    <x v="31"/>
    <n v="3210"/>
    <n v="0"/>
    <n v="96.3"/>
    <n v="0"/>
    <n v="0"/>
    <n v="0"/>
    <n v="3113.7"/>
    <n v="0.03"/>
    <n v="0"/>
    <n v="3"/>
    <s v="-"/>
    <x v="5"/>
    <x v="32"/>
    <s v="Verified"/>
    <s v="Misr MTL (2)"/>
    <n v="110900"/>
    <s v="Fatma"/>
    <s v="-"/>
    <x v="5"/>
    <x v="2"/>
  </r>
  <r>
    <x v="6"/>
    <s v="Pandora EcommerceEcommerce"/>
    <x v="0"/>
    <s v="SET150226266212"/>
    <s v="Middle East for Trading"/>
    <s v="Middle East for Trading"/>
    <s v="Pandora Ecommerce"/>
    <s v="CL13022614175979"/>
    <n v="-2124216068"/>
    <n v="1302265170789510"/>
    <d v="2026-02-13T12:47:16"/>
    <x v="27"/>
    <n v="0"/>
    <x v="27"/>
    <n v="3850"/>
    <n v="0"/>
    <n v="115.5"/>
    <n v="0"/>
    <n v="0"/>
    <n v="0"/>
    <n v="3734.5"/>
    <n v="0.03"/>
    <n v="0"/>
    <n v="6"/>
    <s v="-"/>
    <x v="5"/>
    <x v="33"/>
    <s v="Verified"/>
    <s v="Misr MTL (2)"/>
    <n v="110900"/>
    <s v="Fatma"/>
    <s v="-"/>
    <x v="5"/>
    <x v="2"/>
  </r>
  <r>
    <x v="6"/>
    <s v="Pandora EcommerceEcommerce"/>
    <x v="0"/>
    <s v="SET150226266212"/>
    <s v="Middle East for Trading"/>
    <s v="Middle East for Trading"/>
    <s v="Pandora Ecommerce"/>
    <s v="CL14022614210742"/>
    <n v="-2122196692"/>
    <n v="1402265184858610"/>
    <d v="2026-02-14T19:30:51"/>
    <x v="32"/>
    <n v="0"/>
    <x v="32"/>
    <n v="4145"/>
    <n v="0"/>
    <n v="124.35"/>
    <n v="0"/>
    <n v="0"/>
    <n v="0"/>
    <n v="4020.65"/>
    <n v="0.03"/>
    <n v="0"/>
    <n v="6"/>
    <s v="-"/>
    <x v="5"/>
    <x v="34"/>
    <s v="Verified"/>
    <s v="Misr MTL (2)"/>
    <n v="110900"/>
    <s v="Fatma"/>
    <s v="-"/>
    <x v="5"/>
    <x v="2"/>
  </r>
  <r>
    <x v="6"/>
    <s v="Pandora EcommerceEcommerce"/>
    <x v="0"/>
    <s v="SET150226266212"/>
    <s v="Middle East for Trading"/>
    <s v="Middle East for Trading"/>
    <s v="Pandora Ecommerce"/>
    <s v="CL09022614096156"/>
    <n v="-2131278185"/>
    <n v="902265134463552"/>
    <d v="2026-02-09T00:12:31"/>
    <x v="32"/>
    <n v="0"/>
    <x v="32"/>
    <n v="4145"/>
    <n v="0"/>
    <n v="124.35"/>
    <n v="0"/>
    <n v="0"/>
    <n v="0"/>
    <n v="4020.65"/>
    <n v="0.03"/>
    <n v="0"/>
    <n v="3"/>
    <s v="-"/>
    <x v="5"/>
    <x v="35"/>
    <s v="Verified"/>
    <s v="Misr MTL (2)"/>
    <n v="110900"/>
    <s v="Fatma"/>
    <s v="-"/>
    <x v="5"/>
    <x v="2"/>
  </r>
  <r>
    <x v="6"/>
    <s v="Image Watches CFCImage watches - New Cairo - Cairo Festival City"/>
    <x v="0"/>
    <s v="SET150226266210"/>
    <s v="Middle East for Trading"/>
    <s v="Middle East for Trading"/>
    <s v="Image Watches CFC"/>
    <s v="CL14022614210801"/>
    <n v="-2122193396"/>
    <n v="1402266111084"/>
    <d v="2026-02-14T19:32:20"/>
    <x v="33"/>
    <n v="0"/>
    <x v="33"/>
    <n v="750"/>
    <n v="0"/>
    <n v="22.5"/>
    <n v="0"/>
    <n v="0"/>
    <n v="0"/>
    <n v="727.5"/>
    <n v="0.03"/>
    <n v="0"/>
    <n v="6"/>
    <s v="-"/>
    <x v="2"/>
    <x v="36"/>
    <s v="Verified"/>
    <s v="Misr MTL (2)"/>
    <n v="110900"/>
    <s v="Fatma"/>
    <s v="-"/>
    <x v="2"/>
    <x v="2"/>
  </r>
  <r>
    <x v="6"/>
    <s v="Pandora EcommerceEcommerce"/>
    <x v="0"/>
    <s v="SET150226266212"/>
    <s v="Middle East for Trading"/>
    <s v="Middle East for Trading"/>
    <s v="Pandora Ecommerce"/>
    <s v="CL11022614135792"/>
    <n v="-2127434246"/>
    <n v="1102265152715470"/>
    <d v="2026-02-11T11:08:22"/>
    <x v="34"/>
    <n v="0"/>
    <x v="34"/>
    <n v="4315"/>
    <n v="0"/>
    <n v="129.44999999999999"/>
    <n v="0"/>
    <n v="0"/>
    <n v="0"/>
    <n v="4185.55"/>
    <n v="0.03"/>
    <n v="0"/>
    <n v="3"/>
    <s v="-"/>
    <x v="5"/>
    <x v="37"/>
    <s v="Verified"/>
    <s v="Misr MTL (2)"/>
    <n v="110900"/>
    <s v="Fatma"/>
    <s v="-"/>
    <x v="5"/>
    <x v="2"/>
  </r>
  <r>
    <x v="6"/>
    <s v="Pandora EcommerceEcommerce"/>
    <x v="0"/>
    <s v="SET150226266212"/>
    <s v="Middle East for Trading"/>
    <s v="Middle East for Trading"/>
    <s v="Pandora Ecommerce"/>
    <s v="CL10022614125142"/>
    <n v="-2128460441"/>
    <n v="1002265147858190"/>
    <d v="2026-02-10T18:27:23"/>
    <x v="31"/>
    <n v="0"/>
    <x v="31"/>
    <n v="3210"/>
    <n v="0"/>
    <n v="96.3"/>
    <n v="0"/>
    <n v="0"/>
    <n v="0"/>
    <n v="3113.7"/>
    <n v="0.03"/>
    <n v="0"/>
    <n v="3"/>
    <s v="-"/>
    <x v="5"/>
    <x v="38"/>
    <s v="Verified"/>
    <s v="Misr MTL (2)"/>
    <n v="110900"/>
    <s v="Fatma"/>
    <s v="-"/>
    <x v="5"/>
    <x v="2"/>
  </r>
  <r>
    <x v="6"/>
    <s v="Pandora EcommerceEcommerce"/>
    <x v="0"/>
    <s v="SET150226266212"/>
    <s v="Middle East for Trading"/>
    <s v="Middle East for Trading"/>
    <s v="Pandora Ecommerce"/>
    <s v="CL12022614162403"/>
    <n v="-2125364441"/>
    <n v="1202265164809760"/>
    <d v="2026-02-12T17:15:40"/>
    <x v="35"/>
    <n v="0"/>
    <x v="35"/>
    <n v="5680"/>
    <n v="0"/>
    <n v="170.4"/>
    <n v="0"/>
    <n v="0"/>
    <n v="0"/>
    <n v="5509.6"/>
    <n v="3.0000000000000002E-2"/>
    <n v="0"/>
    <n v="9"/>
    <s v="-"/>
    <x v="5"/>
    <x v="39"/>
    <s v="Verified"/>
    <s v="Misr MTL (2)"/>
    <n v="110900"/>
    <s v="Fatma"/>
    <s v="-"/>
    <x v="5"/>
    <x v="2"/>
  </r>
  <r>
    <x v="6"/>
    <s v="Pandora EcommerceEcommerce"/>
    <x v="0"/>
    <s v="SET150226266212"/>
    <s v="Middle East for Trading"/>
    <s v="Middle East for Trading"/>
    <s v="Pandora Ecommerce"/>
    <s v="CL13022614187850"/>
    <n v="-2123650429"/>
    <n v="1302265175555890"/>
    <d v="2026-02-13T20:09:48"/>
    <x v="36"/>
    <n v="0"/>
    <x v="36"/>
    <n v="3880"/>
    <n v="0"/>
    <n v="116.4"/>
    <n v="0"/>
    <n v="0"/>
    <n v="0"/>
    <n v="3763.6"/>
    <n v="3.0000000000000002E-2"/>
    <n v="0"/>
    <n v="3"/>
    <s v="-"/>
    <x v="5"/>
    <x v="40"/>
    <s v="Verified"/>
    <s v="Misr MTL (2)"/>
    <n v="110900"/>
    <s v="Fatma"/>
    <s v="-"/>
    <x v="5"/>
    <x v="2"/>
  </r>
  <r>
    <x v="6"/>
    <s v="Pandora EcommerceEcommerce"/>
    <x v="0"/>
    <s v="SET150226266212"/>
    <s v="Middle East for Trading"/>
    <s v="Middle East for Trading"/>
    <s v="Pandora Ecommerce"/>
    <s v="CL13022614184595"/>
    <n v="-2123800135"/>
    <n v="1302265174326640"/>
    <d v="2026-02-13T18:26:56"/>
    <x v="31"/>
    <n v="0"/>
    <x v="31"/>
    <n v="3210"/>
    <n v="0"/>
    <n v="96.3"/>
    <n v="0"/>
    <n v="0"/>
    <n v="0"/>
    <n v="3113.7"/>
    <n v="0.03"/>
    <n v="0"/>
    <n v="6"/>
    <s v="-"/>
    <x v="5"/>
    <x v="41"/>
    <s v="Verified"/>
    <s v="Misr MTL (2)"/>
    <n v="110900"/>
    <s v="Fatma"/>
    <s v="-"/>
    <x v="5"/>
    <x v="2"/>
  </r>
  <r>
    <x v="6"/>
    <s v="Pandora EcommerceEcommerce"/>
    <x v="0"/>
    <s v="SET150226266212"/>
    <s v="Middle East for Trading"/>
    <s v="Middle East for Trading"/>
    <s v="Pandora Ecommerce"/>
    <s v="CL13022614175354"/>
    <n v="-2124244378"/>
    <n v="1302265170509280"/>
    <d v="2026-02-13T12:02:15"/>
    <x v="31"/>
    <n v="0"/>
    <x v="31"/>
    <n v="3210"/>
    <n v="0"/>
    <n v="96.3"/>
    <n v="0"/>
    <n v="0"/>
    <n v="0"/>
    <n v="3113.7"/>
    <n v="0.03"/>
    <n v="0"/>
    <n v="6"/>
    <s v="-"/>
    <x v="5"/>
    <x v="42"/>
    <s v="Verified"/>
    <s v="Misr MTL (2)"/>
    <n v="110900"/>
    <s v="Fatma"/>
    <s v="-"/>
    <x v="5"/>
    <x v="2"/>
  </r>
  <r>
    <x v="6"/>
    <s v="Image Watches Mall Of ArabiaImage Watches - October - Mall of Arabia"/>
    <x v="0"/>
    <s v="SET150226266211"/>
    <s v="Middle East for Trading"/>
    <s v="Middle East for Trading"/>
    <s v="Image Watches Mall Of Arabia"/>
    <s v="CL13022614193374"/>
    <n v="-2123416074"/>
    <n v="1302266106962"/>
    <d v="2026-02-13T22:44:39"/>
    <x v="37"/>
    <n v="0"/>
    <x v="37"/>
    <n v="2890"/>
    <n v="0"/>
    <n v="86.7"/>
    <n v="0"/>
    <n v="0"/>
    <n v="0"/>
    <n v="2803.3"/>
    <n v="3.0000000000000002E-2"/>
    <n v="0"/>
    <n v="3"/>
    <s v="-"/>
    <x v="0"/>
    <x v="43"/>
    <s v="Verified"/>
    <s v="Misr MTL (2)"/>
    <n v="110900"/>
    <s v="Fatma"/>
    <s v="-"/>
    <x v="0"/>
    <x v="2"/>
  </r>
  <r>
    <x v="7"/>
    <s v="Pandora EcommerceEcommerce"/>
    <x v="0"/>
    <s v="SET220226267805"/>
    <s v="Middle East for Trading"/>
    <s v="Middle East for Trading"/>
    <s v="Pandora Ecommerce"/>
    <s v="CL19022614303581"/>
    <n v="-2114656186"/>
    <n v="1902265226030380"/>
    <d v="2026-02-19T20:46:41"/>
    <x v="38"/>
    <n v="0"/>
    <x v="38"/>
    <n v="5610"/>
    <n v="0"/>
    <n v="168.3"/>
    <n v="0"/>
    <n v="0"/>
    <n v="0"/>
    <n v="5441.7"/>
    <n v="3.0000000000000002E-2"/>
    <n v="0"/>
    <n v="12"/>
    <s v="-"/>
    <x v="5"/>
    <x v="44"/>
    <s v="Verified"/>
    <s v="-"/>
    <n v="210907"/>
    <s v="M Ashour"/>
    <s v="-"/>
    <x v="5"/>
    <x v="2"/>
  </r>
  <r>
    <x v="7"/>
    <s v="Pandora EcommerceEcommerce"/>
    <x v="0"/>
    <s v="SET220226267805"/>
    <s v="Middle East for Trading"/>
    <s v="Middle East for Trading"/>
    <s v="Pandora Ecommerce"/>
    <s v="CL19022614306228"/>
    <n v="-2114509060"/>
    <n v="1902265227180450"/>
    <d v="2026-02-19T23:36:09"/>
    <x v="39"/>
    <n v="0"/>
    <x v="39"/>
    <n v="7500"/>
    <n v="0"/>
    <n v="225"/>
    <n v="0"/>
    <n v="0"/>
    <n v="0"/>
    <n v="7275"/>
    <n v="0.03"/>
    <n v="0"/>
    <n v="1"/>
    <s v="-"/>
    <x v="5"/>
    <x v="45"/>
    <s v="Verified"/>
    <s v="-"/>
    <n v="210907"/>
    <s v="M Ashour"/>
    <s v="-"/>
    <x v="5"/>
    <x v="2"/>
  </r>
  <r>
    <x v="7"/>
    <s v="Pandora EcommerceEcommerce"/>
    <x v="0"/>
    <s v="SET220226267805"/>
    <s v="Middle East for Trading"/>
    <s v="Middle East for Trading"/>
    <s v="Pandora Ecommerce"/>
    <s v="CL15022614223874"/>
    <n v="-2121073523"/>
    <n v="1502265190667020"/>
    <d v="2026-02-15T14:08:42"/>
    <x v="31"/>
    <n v="0"/>
    <x v="31"/>
    <n v="3210"/>
    <n v="0"/>
    <n v="96.3"/>
    <n v="0"/>
    <n v="0"/>
    <n v="0"/>
    <n v="3113.7"/>
    <n v="0.03"/>
    <n v="0"/>
    <n v="3"/>
    <s v="-"/>
    <x v="5"/>
    <x v="46"/>
    <s v="Verified"/>
    <s v="-"/>
    <n v="210907"/>
    <s v="M Ashour"/>
    <s v="-"/>
    <x v="5"/>
    <x v="2"/>
  </r>
  <r>
    <x v="7"/>
    <s v="Pandora EcommerceEcommerce"/>
    <x v="0"/>
    <s v="SET220226267805"/>
    <s v="Middle East for Trading"/>
    <s v="Middle East for Trading"/>
    <s v="Pandora Ecommerce"/>
    <s v="CL11022614135792"/>
    <n v="-2116527283"/>
    <n v="1802265215260820"/>
    <d v="2026-02-11T00:00:00"/>
    <x v="40"/>
    <n v="0"/>
    <x v="40"/>
    <n v="150"/>
    <n v="0"/>
    <n v="4.5"/>
    <n v="0"/>
    <n v="0"/>
    <n v="0"/>
    <n v="145.5"/>
    <n v="0.03"/>
    <n v="0"/>
    <n v="3"/>
    <s v="-"/>
    <x v="5"/>
    <x v="37"/>
    <s v="Verified"/>
    <s v="-"/>
    <n v="210907"/>
    <s v="M Ashour"/>
    <s v="-"/>
    <x v="5"/>
    <x v="2"/>
  </r>
  <r>
    <x v="7"/>
    <s v="Pandora EcommerceEcommerce"/>
    <x v="0"/>
    <s v="SET220226267805"/>
    <s v="Middle East for Trading"/>
    <s v="Middle East for Trading"/>
    <s v="Pandora Ecommerce"/>
    <s v="CL16022614237021"/>
    <n v="-2120028276"/>
    <n v="1602265196456250"/>
    <d v="2026-02-16T03:25:23"/>
    <x v="41"/>
    <n v="0"/>
    <x v="41"/>
    <n v="3220"/>
    <n v="0"/>
    <n v="96.6"/>
    <n v="0"/>
    <n v="0"/>
    <n v="0"/>
    <n v="3123.4"/>
    <n v="0.03"/>
    <n v="0"/>
    <n v="9"/>
    <s v="-"/>
    <x v="5"/>
    <x v="47"/>
    <s v="Verified"/>
    <s v="-"/>
    <n v="210907"/>
    <s v="M Ashour"/>
    <s v="-"/>
    <x v="5"/>
    <x v="2"/>
  </r>
  <r>
    <x v="7"/>
    <s v="Pandora EcommerceEcommerce"/>
    <x v="1"/>
    <s v="SET220226267805"/>
    <s v="Middle East for Trading"/>
    <s v="Middle East for Trading"/>
    <s v="Pandora Ecommerce"/>
    <s v="CL12022614162403"/>
    <n v="-2125364441"/>
    <n v="1202265164809760"/>
    <d v="2026-02-12T17:15:40"/>
    <x v="42"/>
    <n v="0"/>
    <x v="42"/>
    <n v="-5680"/>
    <n v="0"/>
    <n v="-170.4"/>
    <n v="0"/>
    <n v="0"/>
    <n v="0"/>
    <n v="-5509.6"/>
    <n v="3.0000000000000002E-2"/>
    <n v="0"/>
    <n v="9"/>
    <d v="2026-02-16T00:00:00"/>
    <x v="5"/>
    <x v="48"/>
    <s v="Verified"/>
    <s v="-"/>
    <n v="210907"/>
    <s v="M Ashour"/>
    <s v="-"/>
    <x v="5"/>
    <x v="2"/>
  </r>
  <r>
    <x v="7"/>
    <s v="Pandora EcommerceEcommerce"/>
    <x v="1"/>
    <s v="SET220226267805"/>
    <s v="Middle East for Trading"/>
    <s v="Middle East for Trading"/>
    <s v="Pandora Ecommerce"/>
    <s v="CL11022614135792_1"/>
    <n v="-2127434246"/>
    <n v="1102265152715470"/>
    <d v="2026-02-11T11:08:22"/>
    <x v="43"/>
    <n v="0"/>
    <x v="43"/>
    <n v="-4315"/>
    <n v="0"/>
    <n v="-129.44999999999999"/>
    <n v="0"/>
    <n v="0"/>
    <n v="0"/>
    <n v="-4185.55"/>
    <n v="0.03"/>
    <n v="0"/>
    <n v="3"/>
    <d v="2026-02-18T00:00:00"/>
    <x v="5"/>
    <x v="48"/>
    <s v="Verified"/>
    <s v="-"/>
    <n v="210907"/>
    <s v="M Ashour"/>
    <s v="-"/>
    <x v="5"/>
    <x v="2"/>
  </r>
  <r>
    <x v="7"/>
    <s v="Image Watches Mall Of ArabiaImage Watches - October - Mall of Arabia"/>
    <x v="1"/>
    <s v="SET220226267805"/>
    <s v="Middle East for Trading"/>
    <s v="Middle East for Trading"/>
    <s v="Image Watches Mall Of Arabia"/>
    <s v="CL14022614211482"/>
    <n v="-2122162013"/>
    <n v="1402266111273"/>
    <d v="2026-02-14T19:59:21"/>
    <x v="44"/>
    <n v="0"/>
    <x v="44"/>
    <n v="-21600"/>
    <n v="0"/>
    <n v="-648"/>
    <n v="0"/>
    <n v="0"/>
    <n v="0"/>
    <n v="-20952"/>
    <n v="0.03"/>
    <n v="0"/>
    <n v="6"/>
    <d v="2026-02-23T00:00:00"/>
    <x v="0"/>
    <x v="48"/>
    <s v="Verified"/>
    <s v="-"/>
    <n v="210907"/>
    <s v="M Ashour"/>
    <s v="-"/>
    <x v="0"/>
    <x v="2"/>
  </r>
  <r>
    <x v="8"/>
    <s v="Pandora EcommerceEcommerce"/>
    <x v="0"/>
    <s v="SET010326268507"/>
    <s v="Middle East for Trading"/>
    <s v="Middle East for Trading"/>
    <s v="Pandora Ecommerce"/>
    <s v="CL26022614415729"/>
    <n v="-2105145979"/>
    <n v="2602265278315660"/>
    <d v="2026-02-26T15:20:07"/>
    <x v="45"/>
    <n v="0"/>
    <x v="45"/>
    <n v="3580"/>
    <n v="0"/>
    <n v="107.4"/>
    <n v="0"/>
    <n v="0"/>
    <n v="0"/>
    <n v="3472.6"/>
    <n v="3.0000000000000002E-2"/>
    <n v="0"/>
    <n v="1"/>
    <s v="-"/>
    <x v="5"/>
    <x v="49"/>
    <s v="Verified"/>
    <s v="Misr MTL (1)"/>
    <n v="110900"/>
    <s v="M ElMahdy"/>
    <s v="-"/>
    <x v="5"/>
    <x v="2"/>
  </r>
  <r>
    <x v="8"/>
    <s v="Pandora EcommerceEcommerce"/>
    <x v="0"/>
    <s v="SET010326268507"/>
    <s v="Middle East for Trading"/>
    <s v="Middle East for Trading"/>
    <s v="Pandora Ecommerce"/>
    <s v="CL25022614394033"/>
    <n v="-2108169508"/>
    <n v="2502265268484050"/>
    <d v="2026-02-25T08:41:04"/>
    <x v="46"/>
    <n v="0"/>
    <x v="46"/>
    <n v="2850"/>
    <n v="0"/>
    <n v="85.5"/>
    <n v="0"/>
    <n v="0"/>
    <n v="0"/>
    <n v="2764.5"/>
    <n v="0.03"/>
    <n v="0"/>
    <n v="3"/>
    <s v="-"/>
    <x v="5"/>
    <x v="50"/>
    <s v="Verified"/>
    <s v="Misr MTL (1)"/>
    <n v="110900"/>
    <s v="M ElMahdy"/>
    <s v="-"/>
    <x v="5"/>
    <x v="2"/>
  </r>
  <r>
    <x v="8"/>
    <s v="Pandora EcommerceEcommerce"/>
    <x v="0"/>
    <s v="SET010326268507"/>
    <s v="Middle East for Trading"/>
    <s v="Middle East for Trading"/>
    <s v="Pandora Ecommerce"/>
    <s v="CL25022614395096"/>
    <n v="-2108025581"/>
    <n v="2502265268959880"/>
    <d v="2026-02-25T11:09:59"/>
    <x v="47"/>
    <n v="0"/>
    <x v="47"/>
    <n v="3790"/>
    <n v="0"/>
    <n v="113.7"/>
    <n v="0"/>
    <n v="0"/>
    <n v="0"/>
    <n v="3676.3"/>
    <n v="3.0000000000000002E-2"/>
    <n v="0"/>
    <n v="3"/>
    <s v="-"/>
    <x v="5"/>
    <x v="51"/>
    <s v="Verified"/>
    <s v="Misr MTL (1)"/>
    <n v="110900"/>
    <s v="M ElMahdy"/>
    <s v="-"/>
    <x v="5"/>
    <x v="2"/>
  </r>
  <r>
    <x v="8"/>
    <s v="Pandora EcommerceEcommerce"/>
    <x v="2"/>
    <s v="SET010326268507"/>
    <s v="Middle East for Trading"/>
    <s v="Middle East for Trading"/>
    <s v="Pandora Ecommerce"/>
    <s v="-"/>
    <s v="-"/>
    <s v="-"/>
    <s v="-"/>
    <x v="48"/>
    <n v="0"/>
    <x v="48"/>
    <n v="0"/>
    <n v="0"/>
    <n v="0"/>
    <n v="0"/>
    <n v="0"/>
    <n v="0"/>
    <n v="-11547.849999999999"/>
    <s v="-"/>
    <s v="-"/>
    <s v="-"/>
    <s v="-"/>
    <x v="6"/>
    <x v="48"/>
    <s v="Verified"/>
    <s v="Misr MTL (1)"/>
    <n v="110900"/>
    <s v="M ElMahdy"/>
    <s v="-"/>
    <x v="5"/>
    <x v="3"/>
  </r>
  <r>
    <x v="9"/>
    <s v="Image Watches CFCImage watches - New Cairo - Cairo Festival City"/>
    <x v="0"/>
    <s v="SET080326270880"/>
    <s v="Middle East for Trading"/>
    <s v="Middle East for Trading"/>
    <s v="Image Watches CFC"/>
    <s v="CL05032614543397"/>
    <n v="-2067081196"/>
    <n v="503266156665"/>
    <d v="2026-03-05T15:12:56"/>
    <x v="49"/>
    <n v="0"/>
    <x v="49"/>
    <n v="3000"/>
    <n v="0"/>
    <n v="90"/>
    <n v="0"/>
    <n v="0"/>
    <n v="0"/>
    <n v="2910"/>
    <n v="0.03"/>
    <n v="0"/>
    <n v="3"/>
    <s v="-"/>
    <x v="2"/>
    <x v="52"/>
    <s v="Verified"/>
    <s v="AAIB"/>
    <n v="210922"/>
    <s v="M ElMahdy"/>
    <s v="-"/>
    <x v="2"/>
    <x v="4"/>
  </r>
  <r>
    <x v="9"/>
    <s v="Pandora EcommerceEcommerce"/>
    <x v="0"/>
    <s v="SET080326270881"/>
    <s v="Middle East for Trading"/>
    <s v="Middle East for Trading"/>
    <s v="Pandora Ecommerce"/>
    <s v="CL01032614470055"/>
    <n v="-2094004943"/>
    <n v="103265302587445"/>
    <d v="2026-03-01T18:13:43"/>
    <x v="50"/>
    <n v="0"/>
    <x v="50"/>
    <n v="7700"/>
    <n v="0"/>
    <n v="231"/>
    <n v="0"/>
    <n v="0"/>
    <n v="0"/>
    <n v="7469"/>
    <n v="0.03"/>
    <n v="0"/>
    <n v="36"/>
    <s v="-"/>
    <x v="5"/>
    <x v="53"/>
    <s v="Verified"/>
    <s v="AAIB"/>
    <n v="210922"/>
    <s v="M ElMahdy"/>
    <s v="-"/>
    <x v="5"/>
    <x v="4"/>
  </r>
  <r>
    <x v="9"/>
    <s v="Pandora EcommerceEcommerce"/>
    <x v="2"/>
    <s v="SET080326270881"/>
    <s v="Middle East for Trading"/>
    <s v="Middle East for Trading"/>
    <s v="Pandora Ecommerce"/>
    <s v="-"/>
    <s v="-"/>
    <s v="-"/>
    <s v="-"/>
    <x v="48"/>
    <n v="0"/>
    <x v="48"/>
    <n v="0"/>
    <n v="0"/>
    <n v="0"/>
    <n v="0"/>
    <n v="0"/>
    <n v="0"/>
    <n v="-1634.4499999999971"/>
    <s v="-"/>
    <s v="-"/>
    <s v="-"/>
    <s v="-"/>
    <x v="6"/>
    <x v="48"/>
    <s v="Verified"/>
    <s v="AAIB"/>
    <n v="210922"/>
    <s v="M ElMahdy"/>
    <s v="-"/>
    <x v="5"/>
    <x v="3"/>
  </r>
  <r>
    <x v="10"/>
    <s v="Pandora EcommerceEcommerce"/>
    <x v="0"/>
    <s v="SET150326272031"/>
    <s v="Middle East for Trading"/>
    <s v="Middle East for Trading"/>
    <s v="Pandora Ecommerce"/>
    <s v="CL13032614727396"/>
    <n v="-2050238214"/>
    <n v="1403265422384460"/>
    <d v="2026-03-13T00:00:00"/>
    <x v="51"/>
    <n v="0"/>
    <x v="51"/>
    <n v="28050"/>
    <n v="0"/>
    <n v="841.5"/>
    <n v="0"/>
    <n v="0"/>
    <n v="0"/>
    <n v="27208.5"/>
    <n v="0.03"/>
    <n v="0"/>
    <n v="9"/>
    <s v="-"/>
    <x v="5"/>
    <x v="54"/>
    <s v="Verified"/>
    <s v="AAIB - Batch 2"/>
    <n v="210922"/>
    <s v="M ElMahdy"/>
    <s v="-"/>
    <x v="5"/>
    <x v="4"/>
  </r>
  <r>
    <x v="10"/>
    <s v="Image Watches City StarsImage watches - Nasr City - City Stars Mall"/>
    <x v="0"/>
    <s v="SET150326272030"/>
    <s v="Middle East for Trading"/>
    <s v="Middle East for Trading"/>
    <s v="Image Watches City Stars"/>
    <s v="CL13032614725637"/>
    <n v="-2051881767"/>
    <n v="1303266181549"/>
    <d v="2026-03-13T22:15:46"/>
    <x v="52"/>
    <n v="0"/>
    <x v="52"/>
    <n v="17590"/>
    <n v="528"/>
    <n v="527.70000000000005"/>
    <n v="0"/>
    <n v="0"/>
    <n v="0"/>
    <n v="16534.3"/>
    <n v="3.0000000000000002E-2"/>
    <n v="3.0017055144968732E-2"/>
    <n v="12"/>
    <s v="-"/>
    <x v="3"/>
    <x v="55"/>
    <s v="Verified"/>
    <s v="AAIB - Batch 2"/>
    <n v="210922"/>
    <s v="M ElMahdy"/>
    <s v="-"/>
    <x v="3"/>
    <x v="4"/>
  </r>
  <r>
    <x v="10"/>
    <s v="Pandora EcommerceEcommerce"/>
    <x v="0"/>
    <s v="SET150326272031"/>
    <s v="Middle East for Trading"/>
    <s v="Middle East for Trading"/>
    <s v="Pandora Ecommerce"/>
    <s v="CL11032614674329"/>
    <n v="-2057097937"/>
    <n v="1103265395066560"/>
    <d v="2026-03-11T16:01:50"/>
    <x v="53"/>
    <n v="0"/>
    <x v="53"/>
    <n v="4615"/>
    <n v="0"/>
    <n v="138.44999999999999"/>
    <n v="0"/>
    <n v="0"/>
    <n v="0"/>
    <n v="4476.55"/>
    <n v="0.03"/>
    <n v="0"/>
    <n v="3"/>
    <s v="-"/>
    <x v="5"/>
    <x v="56"/>
    <s v="Verified"/>
    <s v="AAIB - Batch 2"/>
    <n v="210922"/>
    <s v="M ElMahdy"/>
    <s v="-"/>
    <x v="5"/>
    <x v="4"/>
  </r>
  <r>
    <x v="10"/>
    <s v="Image Watches City Center AlmazaImage watches - Heliopolis - City Center Almaza"/>
    <x v="0"/>
    <s v="SET150326272029"/>
    <s v="Middle East for Trading"/>
    <s v="Middle East for Trading"/>
    <s v="Image Watches City Center Almaza"/>
    <s v="CL08032614615931"/>
    <n v="-2060684601"/>
    <n v="803266166873"/>
    <d v="2026-03-08T21:43:35"/>
    <x v="54"/>
    <n v="0"/>
    <x v="54"/>
    <n v="17765"/>
    <n v="0"/>
    <n v="532.95000000000005"/>
    <n v="0"/>
    <n v="0"/>
    <n v="0"/>
    <n v="17232.05"/>
    <n v="3.0000000000000002E-2"/>
    <n v="0"/>
    <n v="1"/>
    <s v="-"/>
    <x v="4"/>
    <x v="57"/>
    <s v="Verified"/>
    <s v="AAIB - Batch 2"/>
    <n v="210922"/>
    <s v="M ElMahdy"/>
    <s v="-"/>
    <x v="4"/>
    <x v="4"/>
  </r>
  <r>
    <x v="10"/>
    <s v="Image Watches City Center AlmazaImage watches - Heliopolis - City Center Almaza"/>
    <x v="0"/>
    <s v="SET150326272029"/>
    <s v="Middle East for Trading"/>
    <s v="Middle East for Trading"/>
    <s v="Image Watches City Center Almaza"/>
    <s v="CL09032614634273"/>
    <n v="-2059583692"/>
    <n v="903266169073"/>
    <d v="2026-03-09T20:15:34"/>
    <x v="55"/>
    <n v="0"/>
    <x v="55"/>
    <n v="6425"/>
    <n v="193"/>
    <n v="192.75"/>
    <n v="0"/>
    <n v="0"/>
    <n v="0"/>
    <n v="6039.25"/>
    <n v="0.03"/>
    <n v="3.0038910505836576E-2"/>
    <n v="36"/>
    <s v="-"/>
    <x v="4"/>
    <x v="58"/>
    <s v="Verified"/>
    <s v="AAIB - Batch 2"/>
    <n v="210922"/>
    <s v="M ElMahdy"/>
    <s v="-"/>
    <x v="4"/>
    <x v="4"/>
  </r>
  <r>
    <x v="10"/>
    <s v="Pandora EcommerceEcommerce"/>
    <x v="0"/>
    <s v="SET150326272031"/>
    <s v="Middle East for Trading"/>
    <s v="Middle East for Trading"/>
    <s v="Pandora Ecommerce"/>
    <s v="CL10032614653510"/>
    <n v="-2058472046"/>
    <n v="1003265385694160"/>
    <d v="2026-03-10T16:38:48"/>
    <x v="56"/>
    <n v="0"/>
    <x v="56"/>
    <n v="4500"/>
    <n v="0"/>
    <n v="135"/>
    <n v="0"/>
    <n v="0"/>
    <n v="0"/>
    <n v="4365"/>
    <n v="0.03"/>
    <n v="0"/>
    <n v="3"/>
    <s v="-"/>
    <x v="5"/>
    <x v="59"/>
    <s v="Verified"/>
    <s v="AAIB - Batch 2"/>
    <n v="210922"/>
    <s v="M ElMahdy"/>
    <s v="-"/>
    <x v="5"/>
    <x v="4"/>
  </r>
  <r>
    <x v="11"/>
    <s v="Image Watches City Center AlmazaImage watches - Heliopolis - City Center Almaza"/>
    <x v="0"/>
    <s v="SET230326273687"/>
    <s v="Middle East for Trading"/>
    <s v="Middle East for Trading"/>
    <s v="Image Watches City Center Almaza"/>
    <s v="CL16032614790176"/>
    <n v="-2045918979"/>
    <n v="1603266190505"/>
    <d v="2026-03-16T16:27:18"/>
    <x v="57"/>
    <n v="0"/>
    <x v="57"/>
    <n v="5670"/>
    <n v="0"/>
    <n v="170.1"/>
    <n v="0"/>
    <n v="0"/>
    <n v="0"/>
    <n v="5499.9"/>
    <n v="0.03"/>
    <n v="0"/>
    <n v="3"/>
    <s v="-"/>
    <x v="4"/>
    <x v="60"/>
    <s v="Verified"/>
    <s v="Al Baraka"/>
    <n v="210915"/>
    <s v="M ElMahdy"/>
    <s v="-"/>
    <x v="4"/>
    <x v="4"/>
  </r>
  <r>
    <x v="11"/>
    <s v="Pandora EcommerceEcommerce"/>
    <x v="0"/>
    <s v="SET230326273689"/>
    <s v="Middle East for Trading"/>
    <s v="Middle East for Trading"/>
    <s v="Pandora Ecommerce"/>
    <s v="CL15032614758116"/>
    <n v="-2048342226"/>
    <n v="1503265432365070"/>
    <d v="2026-03-15T11:05:11"/>
    <x v="58"/>
    <n v="0"/>
    <x v="58"/>
    <n v="8000"/>
    <n v="0"/>
    <n v="240"/>
    <n v="0"/>
    <n v="0"/>
    <n v="0"/>
    <n v="7760"/>
    <n v="0.03"/>
    <n v="0"/>
    <n v="6"/>
    <s v="-"/>
    <x v="5"/>
    <x v="61"/>
    <s v="Verified"/>
    <s v="Al Baraka"/>
    <n v="210915"/>
    <s v="M ElMahdy"/>
    <s v="-"/>
    <x v="5"/>
    <x v="4"/>
  </r>
  <r>
    <x v="11"/>
    <s v="Image Watches CFCImage watches - New Cairo - Cairo Festival City"/>
    <x v="0"/>
    <s v="SET230326273686"/>
    <s v="Middle East for Trading"/>
    <s v="Middle East for Trading"/>
    <s v="Image Watches CFC"/>
    <s v="CL20032614884980"/>
    <n v="-2039199709"/>
    <n v="2003266209751"/>
    <d v="2026-03-20T22:00:49"/>
    <x v="59"/>
    <n v="0"/>
    <x v="59"/>
    <n v="2295"/>
    <n v="0"/>
    <n v="68.849999999999994"/>
    <n v="0"/>
    <n v="0"/>
    <n v="0"/>
    <n v="2226.15"/>
    <n v="0.03"/>
    <n v="0"/>
    <n v="6"/>
    <s v="-"/>
    <x v="2"/>
    <x v="62"/>
    <s v="Verified"/>
    <s v="Al Baraka"/>
    <n v="210915"/>
    <s v="M ElMahdy"/>
    <s v="-"/>
    <x v="2"/>
    <x v="4"/>
  </r>
  <r>
    <x v="11"/>
    <s v="Image Watches City Center AlmazaImage watches - Heliopolis - City Center Almaza"/>
    <x v="0"/>
    <s v="SET230326273687"/>
    <s v="Middle East for Trading"/>
    <s v="Middle East for Trading"/>
    <s v="Image Watches City Center Almaza"/>
    <s v="CL18032614832943"/>
    <n v="-2042401213"/>
    <n v="1803266197981"/>
    <d v="2026-03-18T13:16:50"/>
    <x v="60"/>
    <n v="0"/>
    <x v="60"/>
    <n v="3230"/>
    <n v="0"/>
    <n v="96.9"/>
    <n v="0"/>
    <n v="0"/>
    <n v="0"/>
    <n v="3133.1"/>
    <n v="3.0000000000000002E-2"/>
    <n v="0"/>
    <n v="3"/>
    <s v="-"/>
    <x v="4"/>
    <x v="63"/>
    <s v="Verified"/>
    <s v="Al Baraka"/>
    <n v="210915"/>
    <s v="M ElMahdy"/>
    <s v="-"/>
    <x v="4"/>
    <x v="4"/>
  </r>
  <r>
    <x v="11"/>
    <s v="Pandora EcommerceEcommerce"/>
    <x v="0"/>
    <s v="SET230326273689"/>
    <s v="Middle East for Trading"/>
    <s v="Middle East for Trading"/>
    <s v="Pandora Ecommerce"/>
    <s v="CL22032614906832"/>
    <n v="-2037705185"/>
    <n v="2203265495484230"/>
    <d v="2026-03-22T17:29:04"/>
    <x v="61"/>
    <n v="0"/>
    <x v="61"/>
    <n v="7430"/>
    <n v="0"/>
    <n v="222.9"/>
    <n v="0"/>
    <n v="0"/>
    <n v="0"/>
    <n v="7207.1"/>
    <n v="3.0000000000000002E-2"/>
    <n v="0"/>
    <n v="1"/>
    <s v="-"/>
    <x v="5"/>
    <x v="64"/>
    <s v="Verified"/>
    <s v="Al Baraka"/>
    <n v="210915"/>
    <s v="M ElMahdy"/>
    <s v="-"/>
    <x v="5"/>
    <x v="4"/>
  </r>
  <r>
    <x v="11"/>
    <s v="Pandora EcommerceEcommerce"/>
    <x v="0"/>
    <s v="SET230326273689"/>
    <s v="Middle East for Trading"/>
    <s v="Middle East for Trading"/>
    <s v="Pandora Ecommerce"/>
    <s v="CL21032614889903"/>
    <n v="-2038730793"/>
    <n v="2103265488626660"/>
    <d v="2026-03-21T11:29:40"/>
    <x v="56"/>
    <n v="0"/>
    <x v="56"/>
    <n v="4500"/>
    <n v="0"/>
    <n v="135"/>
    <n v="0"/>
    <n v="0"/>
    <n v="0"/>
    <n v="4365"/>
    <n v="0.03"/>
    <n v="0"/>
    <n v="1"/>
    <s v="-"/>
    <x v="5"/>
    <x v="65"/>
    <s v="Verified"/>
    <s v="Al Baraka"/>
    <n v="210915"/>
    <s v="M ElMahdy"/>
    <s v="-"/>
    <x v="5"/>
    <x v="4"/>
  </r>
  <r>
    <x v="11"/>
    <s v="Image Watches Mall Of ArabiaImage Watches - October - Mall of Arabia"/>
    <x v="0"/>
    <s v="SET230326273688"/>
    <s v="Middle East for Trading"/>
    <s v="Middle East for Trading"/>
    <s v="Image Watches Mall Of Arabia"/>
    <s v="CL21032614892784"/>
    <n v="-2038600411"/>
    <n v="2103266211030"/>
    <d v="2026-03-21T16:05:31"/>
    <x v="62"/>
    <n v="0"/>
    <x v="62"/>
    <n v="10000"/>
    <n v="0"/>
    <n v="300"/>
    <n v="0"/>
    <n v="0"/>
    <n v="0"/>
    <n v="9700"/>
    <n v="0.03"/>
    <n v="0"/>
    <n v="6"/>
    <s v="-"/>
    <x v="0"/>
    <x v="66"/>
    <s v="Verified"/>
    <s v="Al Baraka"/>
    <n v="210915"/>
    <s v="M ElMahdy"/>
    <s v="-"/>
    <x v="0"/>
    <x v="4"/>
  </r>
  <r>
    <x v="11"/>
    <s v="Pandora EcommerceEcommerce"/>
    <x v="0"/>
    <s v="SET230326273689"/>
    <s v="Middle East for Trading"/>
    <s v="Middle East for Trading"/>
    <s v="Pandora Ecommerce"/>
    <s v="CL17032614823042"/>
    <n v="-2043405577"/>
    <n v="1703265460831540"/>
    <d v="2026-03-17T22:41:17"/>
    <x v="63"/>
    <n v="0"/>
    <x v="63"/>
    <n v="4300"/>
    <n v="0"/>
    <n v="129"/>
    <n v="0"/>
    <n v="0"/>
    <n v="0"/>
    <n v="4171"/>
    <n v="0.03"/>
    <n v="0"/>
    <n v="1"/>
    <s v="-"/>
    <x v="5"/>
    <x v="67"/>
    <s v="Verified"/>
    <s v="Al Baraka"/>
    <n v="210915"/>
    <s v="M ElMahdy"/>
    <s v="-"/>
    <x v="5"/>
    <x v="4"/>
  </r>
  <r>
    <x v="11"/>
    <s v="Image Watches Mall Of ArabiaImage Watches - October - Mall of Arabia"/>
    <x v="0"/>
    <s v="SET230326273688"/>
    <s v="Middle East for Trading"/>
    <s v="Middle East for Trading"/>
    <s v="Image Watches Mall Of Arabia"/>
    <s v="CL15032614771672"/>
    <n v="-2047561503"/>
    <n v="1503266188075"/>
    <d v="2026-03-15T22:13:39"/>
    <x v="64"/>
    <n v="0"/>
    <x v="64"/>
    <n v="9040"/>
    <n v="0"/>
    <n v="271.2"/>
    <n v="0"/>
    <n v="0"/>
    <n v="0"/>
    <n v="8768.7999999999993"/>
    <n v="0.03"/>
    <n v="0"/>
    <n v="6"/>
    <s v="-"/>
    <x v="0"/>
    <x v="68"/>
    <s v="Verified"/>
    <s v="Al Baraka"/>
    <n v="210915"/>
    <s v="M ElMahdy"/>
    <s v="-"/>
    <x v="0"/>
    <x v="4"/>
  </r>
  <r>
    <x v="11"/>
    <s v="Pandora EcommerceEcommerce"/>
    <x v="0"/>
    <s v="SET230326273689"/>
    <s v="Middle East for Trading"/>
    <s v="Middle East for Trading"/>
    <s v="Pandora Ecommerce"/>
    <s v="CL18032614826393"/>
    <n v="-2043161941"/>
    <n v="1803265462173450"/>
    <d v="2026-03-18T00:38:25"/>
    <x v="56"/>
    <n v="0"/>
    <x v="56"/>
    <n v="4500"/>
    <n v="0"/>
    <n v="135"/>
    <n v="0"/>
    <n v="0"/>
    <n v="0"/>
    <n v="4365"/>
    <n v="0.03"/>
    <n v="0"/>
    <n v="3"/>
    <s v="-"/>
    <x v="5"/>
    <x v="69"/>
    <s v="Verified"/>
    <s v="Al Baraka"/>
    <n v="210915"/>
    <s v="M ElMahdy"/>
    <s v="-"/>
    <x v="5"/>
    <x v="4"/>
  </r>
  <r>
    <x v="11"/>
    <s v="Pandora EcommerceEcommerce"/>
    <x v="0"/>
    <s v="SET230326273689"/>
    <s v="Middle East for Trading"/>
    <s v="Middle East for Trading"/>
    <s v="Pandora Ecommerce"/>
    <s v="CL23032614916056"/>
    <n v="-2037016881"/>
    <n v="2303265499430560"/>
    <d v="2026-03-23T11:28:03"/>
    <x v="65"/>
    <n v="0"/>
    <x v="65"/>
    <n v="4600"/>
    <n v="0"/>
    <n v="138"/>
    <n v="0"/>
    <n v="0"/>
    <n v="0"/>
    <n v="4462"/>
    <n v="0.03"/>
    <n v="0"/>
    <n v="3"/>
    <s v="-"/>
    <x v="5"/>
    <x v="70"/>
    <s v="Verified"/>
    <s v="Al Baraka"/>
    <n v="210915"/>
    <s v="M ElMahdy"/>
    <s v="-"/>
    <x v="5"/>
    <x v="4"/>
  </r>
  <r>
    <x v="11"/>
    <s v="Pandora EcommerceEcommerce"/>
    <x v="0"/>
    <s v="SET230326273689"/>
    <s v="Middle East for Trading"/>
    <s v="Middle East for Trading"/>
    <s v="Pandora Ecommerce"/>
    <s v="CL20032614876737"/>
    <n v="-2039548057"/>
    <n v="2003265482819250"/>
    <d v="2026-03-20T14:06:31"/>
    <x v="66"/>
    <n v="0"/>
    <x v="66"/>
    <n v="34100"/>
    <n v="0"/>
    <n v="1023"/>
    <n v="0"/>
    <n v="0"/>
    <n v="0"/>
    <n v="33077"/>
    <n v="0.03"/>
    <n v="0"/>
    <n v="9"/>
    <s v="-"/>
    <x v="5"/>
    <x v="54"/>
    <s v="Verified"/>
    <s v="Al Baraka"/>
    <n v="210915"/>
    <s v="M ElMahdy"/>
    <s v="-"/>
    <x v="5"/>
    <x v="4"/>
  </r>
  <r>
    <x v="11"/>
    <s v="Pandora EcommerceEcommerce"/>
    <x v="0"/>
    <s v="SET230326273689"/>
    <s v="Middle East for Trading"/>
    <s v="Middle East for Trading"/>
    <s v="Pandora Ecommerce"/>
    <s v="CL15032614763446"/>
    <n v="-2048038619"/>
    <n v="1503265434675080"/>
    <d v="2026-03-15T15:55:36"/>
    <x v="67"/>
    <n v="0"/>
    <x v="67"/>
    <n v="4530"/>
    <n v="0"/>
    <n v="135.9"/>
    <n v="0"/>
    <n v="0"/>
    <n v="0"/>
    <n v="4394.1000000000004"/>
    <n v="3.0000000000000002E-2"/>
    <n v="0"/>
    <n v="12"/>
    <s v="-"/>
    <x v="5"/>
    <x v="71"/>
    <s v="Verified"/>
    <s v="Al Baraka"/>
    <n v="210915"/>
    <s v="M ElMahdy"/>
    <s v="-"/>
    <x v="5"/>
    <x v="4"/>
  </r>
  <r>
    <x v="12"/>
    <s v="Pandora EcommerceEcommerce"/>
    <x v="0"/>
    <s v="SET290326274290"/>
    <s v="Middle East for Trading"/>
    <s v="Middle East for Trading"/>
    <s v="Pandora Ecommerce"/>
    <s v="CL26032614956292"/>
    <n v="-2033225793"/>
    <n v="2603265516972030"/>
    <d v="2026-03-26T02:11:13"/>
    <x v="68"/>
    <n v="0"/>
    <x v="68"/>
    <n v="6660"/>
    <n v="0"/>
    <n v="199.8"/>
    <n v="0"/>
    <n v="0"/>
    <n v="0"/>
    <n v="6460.2"/>
    <n v="3.0000000000000002E-2"/>
    <n v="0"/>
    <n v="9"/>
    <s v="-"/>
    <x v="5"/>
    <x v="72"/>
    <s v="Verified"/>
    <s v="AAIB "/>
    <n v="210922"/>
    <s v="Sayed"/>
    <s v="-"/>
    <x v="5"/>
    <x v="4"/>
  </r>
  <r>
    <x v="13"/>
    <m/>
    <x v="3"/>
    <m/>
    <m/>
    <m/>
    <m/>
    <m/>
    <m/>
    <m/>
    <m/>
    <x v="69"/>
    <n v="0"/>
    <x v="69"/>
    <n v="457200"/>
    <n v="2242"/>
    <n v="13716.000000000002"/>
    <n v="0"/>
    <n v="0"/>
    <n v="0"/>
    <n v="428059.7"/>
    <m/>
    <m/>
    <m/>
    <m/>
    <x v="7"/>
    <x v="73"/>
    <m/>
    <m/>
    <m/>
    <m/>
    <m/>
    <x v="6"/>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3:C11" firstHeaderRow="0" firstDataRow="1" firstDataCol="1"/>
  <pivotFields count="34">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dataField="1"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dataField="1" numFmtId="43"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2"/>
        <item x="1"/>
        <item x="4"/>
        <item x="3"/>
        <item x="5"/>
        <item x="0"/>
        <item x="6"/>
        <item t="default"/>
      </items>
    </pivotField>
    <pivotField showAll="0">
      <items count="7">
        <item x="3"/>
        <item x="0"/>
        <item x="2"/>
        <item x="5"/>
        <item x="1"/>
        <item x="4"/>
        <item t="default"/>
      </items>
    </pivotField>
  </pivotFields>
  <rowFields count="1">
    <field x="32"/>
  </rowFields>
  <rowItems count="8">
    <i>
      <x/>
    </i>
    <i>
      <x v="1"/>
    </i>
    <i>
      <x v="2"/>
    </i>
    <i>
      <x v="3"/>
    </i>
    <i>
      <x v="4"/>
    </i>
    <i>
      <x v="5"/>
    </i>
    <i>
      <x v="6"/>
    </i>
    <i t="grand">
      <x/>
    </i>
  </rowItems>
  <colFields count="1">
    <field x="-2"/>
  </colFields>
  <colItems count="2">
    <i>
      <x/>
    </i>
    <i i="1">
      <x v="1"/>
    </i>
  </colItems>
  <dataFields count="2">
    <dataField name="Sum of Product price" fld="11" baseField="0" baseItem="0"/>
    <dataField name="Sum of Settled amount" fld="20" baseField="0" baseItem="0"/>
  </dataFields>
  <chartFormats count="4">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0"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0" firstHeaderRow="1" firstDataRow="1" firstDataCol="1"/>
  <pivotFields count="34">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dataField="1"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showAll="0"/>
    <pivotField showAll="0"/>
    <pivotField showAll="0"/>
    <pivotField showAll="0"/>
    <pivotField showAll="0">
      <items count="9">
        <item x="6"/>
        <item x="5"/>
        <item x="1"/>
        <item x="4"/>
        <item x="3"/>
        <item x="2"/>
        <item x="0"/>
        <item x="7"/>
        <item t="default"/>
      </items>
    </pivotField>
    <pivotField showAll="0"/>
    <pivotField showAll="0"/>
    <pivotField showAll="0"/>
    <pivotField showAll="0"/>
    <pivotField showAll="0"/>
    <pivotField showAll="0"/>
    <pivotField showAll="0"/>
    <pivotField axis="axisRow" showAll="0">
      <items count="7">
        <item x="3"/>
        <item x="0"/>
        <item x="2"/>
        <item x="5"/>
        <item x="1"/>
        <item x="4"/>
        <item t="default"/>
      </items>
    </pivotField>
  </pivotFields>
  <rowFields count="1">
    <field x="33"/>
  </rowFields>
  <rowItems count="7">
    <i>
      <x/>
    </i>
    <i>
      <x v="1"/>
    </i>
    <i>
      <x v="2"/>
    </i>
    <i>
      <x v="3"/>
    </i>
    <i>
      <x v="4"/>
    </i>
    <i>
      <x v="5"/>
    </i>
    <i t="grand">
      <x/>
    </i>
  </rowItems>
  <colItems count="1">
    <i/>
  </colItems>
  <dataFields count="1">
    <dataField name="Sum of Product price" fld="11"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8" firstHeaderRow="1" firstDataRow="1" firstDataCol="1"/>
  <pivotFields count="34">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C8" firstHeaderRow="0" firstDataRow="1" firstDataCol="1"/>
  <pivotFields count="34">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dataField="1" numFmtId="43" showAll="0">
      <items count="71">
        <item x="44"/>
        <item x="42"/>
        <item x="43"/>
        <item x="48"/>
        <item x="40"/>
        <item x="33"/>
        <item x="8"/>
        <item x="2"/>
        <item x="11"/>
        <item x="14"/>
        <item x="15"/>
        <item x="59"/>
        <item x="24"/>
        <item x="29"/>
        <item x="23"/>
        <item x="46"/>
        <item x="37"/>
        <item x="49"/>
        <item x="3"/>
        <item x="31"/>
        <item x="41"/>
        <item x="60"/>
        <item x="45"/>
        <item x="9"/>
        <item x="47"/>
        <item x="27"/>
        <item x="36"/>
        <item x="6"/>
        <item x="18"/>
        <item x="17"/>
        <item x="32"/>
        <item x="30"/>
        <item x="63"/>
        <item x="34"/>
        <item x="0"/>
        <item x="19"/>
        <item x="56"/>
        <item x="67"/>
        <item x="65"/>
        <item x="53"/>
        <item x="25"/>
        <item x="22"/>
        <item x="13"/>
        <item x="4"/>
        <item x="20"/>
        <item x="38"/>
        <item x="57"/>
        <item x="35"/>
        <item x="55"/>
        <item x="21"/>
        <item x="68"/>
        <item x="1"/>
        <item x="61"/>
        <item x="39"/>
        <item x="50"/>
        <item x="12"/>
        <item x="58"/>
        <item x="7"/>
        <item x="5"/>
        <item x="64"/>
        <item x="62"/>
        <item x="16"/>
        <item x="10"/>
        <item x="52"/>
        <item x="54"/>
        <item x="28"/>
        <item x="51"/>
        <item x="66"/>
        <item x="26"/>
        <item x="69"/>
        <item t="default"/>
      </items>
    </pivotField>
    <pivotField numFmtId="43" showAll="0"/>
    <pivotField dataField="1" numFmtId="43" showAll="0">
      <items count="71">
        <item x="44"/>
        <item x="42"/>
        <item x="43"/>
        <item x="48"/>
        <item x="40"/>
        <item x="33"/>
        <item x="8"/>
        <item x="2"/>
        <item x="11"/>
        <item x="14"/>
        <item x="15"/>
        <item x="59"/>
        <item x="24"/>
        <item x="29"/>
        <item x="23"/>
        <item x="46"/>
        <item x="37"/>
        <item x="49"/>
        <item x="3"/>
        <item x="31"/>
        <item x="41"/>
        <item x="60"/>
        <item x="45"/>
        <item x="9"/>
        <item x="47"/>
        <item x="27"/>
        <item x="36"/>
        <item x="6"/>
        <item x="18"/>
        <item x="17"/>
        <item x="32"/>
        <item x="30"/>
        <item x="63"/>
        <item x="34"/>
        <item x="0"/>
        <item x="19"/>
        <item x="56"/>
        <item x="67"/>
        <item x="65"/>
        <item x="53"/>
        <item x="25"/>
        <item x="22"/>
        <item x="13"/>
        <item x="4"/>
        <item x="20"/>
        <item x="38"/>
        <item x="57"/>
        <item x="35"/>
        <item x="55"/>
        <item x="21"/>
        <item x="68"/>
        <item x="1"/>
        <item x="61"/>
        <item x="39"/>
        <item x="50"/>
        <item x="12"/>
        <item x="58"/>
        <item x="7"/>
        <item x="5"/>
        <item x="64"/>
        <item x="62"/>
        <item x="16"/>
        <item x="10"/>
        <item x="52"/>
        <item x="54"/>
        <item x="28"/>
        <item x="51"/>
        <item x="66"/>
        <item x="26"/>
        <item x="69"/>
        <item t="default"/>
      </items>
    </pivotField>
    <pivotField numFmtId="43" showAll="0"/>
    <pivotField numFmtId="43" showAll="0"/>
    <pivotField numFmtId="43" showAll="0"/>
    <pivotField numFmtId="43" showAll="0"/>
    <pivotField numFmtId="43" showAll="0"/>
    <pivotField numFmtId="43"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Fields count="1">
    <field x="-2"/>
  </colFields>
  <colItems count="2">
    <i>
      <x/>
    </i>
    <i i="1">
      <x v="1"/>
    </i>
  </colItems>
  <dataFields count="2">
    <dataField name="Sum of Product price" fld="11" baseField="0" baseItem="0"/>
    <dataField name="Sum of Financed amount" fld="1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8" firstHeaderRow="1" firstDataRow="1" firstDataCol="1"/>
  <pivotFields count="34">
    <pivotField showAll="0"/>
    <pivotField showAll="0"/>
    <pivotField showAll="0"/>
    <pivotField showAll="0"/>
    <pivotField showAll="0"/>
    <pivotField showAll="0"/>
    <pivotField showAll="0"/>
    <pivotField showAll="0"/>
    <pivotField showAll="0"/>
    <pivotField showAll="0"/>
    <pivotField showAll="0"/>
    <pivotField dataField="1"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showAll="0"/>
    <pivotField showAll="0"/>
    <pivotField showAll="0"/>
    <pivotField showAll="0"/>
    <pivotField showAll="0"/>
    <pivotField axis="axisRow" showAll="0" sortType="descending">
      <items count="75">
        <item x="48"/>
        <item x="29"/>
        <item x="36"/>
        <item x="24"/>
        <item x="65"/>
        <item x="22"/>
        <item x="47"/>
        <item x="60"/>
        <item x="30"/>
        <item x="35"/>
        <item x="0"/>
        <item x="62"/>
        <item x="37"/>
        <item x="16"/>
        <item x="8"/>
        <item x="32"/>
        <item x="45"/>
        <item x="56"/>
        <item x="14"/>
        <item x="57"/>
        <item x="41"/>
        <item x="13"/>
        <item x="10"/>
        <item x="9"/>
        <item x="68"/>
        <item x="66"/>
        <item x="31"/>
        <item x="39"/>
        <item x="64"/>
        <item x="49"/>
        <item x="34"/>
        <item x="58"/>
        <item x="33"/>
        <item x="53"/>
        <item x="70"/>
        <item x="5"/>
        <item x="28"/>
        <item x="44"/>
        <item x="7"/>
        <item x="23"/>
        <item x="2"/>
        <item x="55"/>
        <item x="50"/>
        <item x="18"/>
        <item x="3"/>
        <item x="54"/>
        <item x="25"/>
        <item x="69"/>
        <item x="46"/>
        <item x="27"/>
        <item x="17"/>
        <item x="63"/>
        <item x="11"/>
        <item x="6"/>
        <item x="12"/>
        <item x="52"/>
        <item x="20"/>
        <item x="21"/>
        <item x="42"/>
        <item x="1"/>
        <item x="51"/>
        <item x="15"/>
        <item x="59"/>
        <item x="72"/>
        <item x="67"/>
        <item x="26"/>
        <item x="40"/>
        <item x="43"/>
        <item x="19"/>
        <item x="4"/>
        <item x="61"/>
        <item x="71"/>
        <item x="38"/>
        <item x="7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26"/>
  </rowFields>
  <rowItems count="75">
    <i>
      <x v="73"/>
    </i>
    <i>
      <x v="45"/>
    </i>
    <i>
      <x v="49"/>
    </i>
    <i>
      <x v="1"/>
    </i>
    <i>
      <x v="19"/>
    </i>
    <i>
      <x v="41"/>
    </i>
    <i>
      <x v="22"/>
    </i>
    <i>
      <x v="13"/>
    </i>
    <i>
      <x v="25"/>
    </i>
    <i>
      <x v="24"/>
    </i>
    <i>
      <x v="35"/>
    </i>
    <i>
      <x v="38"/>
    </i>
    <i>
      <x v="70"/>
    </i>
    <i>
      <x v="54"/>
    </i>
    <i>
      <x v="33"/>
    </i>
    <i>
      <x v="16"/>
    </i>
    <i>
      <x v="28"/>
    </i>
    <i>
      <x v="59"/>
    </i>
    <i>
      <x v="63"/>
    </i>
    <i>
      <x v="5"/>
    </i>
    <i>
      <x v="31"/>
    </i>
    <i>
      <x v="27"/>
    </i>
    <i>
      <x v="7"/>
    </i>
    <i>
      <x v="37"/>
    </i>
    <i>
      <x v="57"/>
    </i>
    <i>
      <x v="69"/>
    </i>
    <i>
      <x v="21"/>
    </i>
    <i>
      <x v="39"/>
    </i>
    <i>
      <x v="65"/>
    </i>
    <i>
      <x v="17"/>
    </i>
    <i>
      <x v="34"/>
    </i>
    <i>
      <x v="71"/>
    </i>
    <i>
      <x v="47"/>
    </i>
    <i>
      <x v="4"/>
    </i>
    <i>
      <x v="62"/>
    </i>
    <i>
      <x v="12"/>
    </i>
    <i>
      <x v="56"/>
    </i>
    <i>
      <x v="10"/>
    </i>
    <i>
      <x v="64"/>
    </i>
    <i>
      <x v="26"/>
    </i>
    <i>
      <x v="30"/>
    </i>
    <i>
      <x v="9"/>
    </i>
    <i>
      <x v="50"/>
    </i>
    <i>
      <x v="68"/>
    </i>
    <i>
      <x v="43"/>
    </i>
    <i>
      <x v="53"/>
    </i>
    <i>
      <x v="66"/>
    </i>
    <i>
      <x v="32"/>
    </i>
    <i>
      <x v="36"/>
    </i>
    <i>
      <x v="60"/>
    </i>
    <i>
      <x v="23"/>
    </i>
    <i>
      <x v="29"/>
    </i>
    <i>
      <x v="51"/>
    </i>
    <i>
      <x v="6"/>
    </i>
    <i>
      <x v="15"/>
    </i>
    <i>
      <x v="72"/>
    </i>
    <i>
      <x v="20"/>
    </i>
    <i>
      <x v="58"/>
    </i>
    <i>
      <x v="48"/>
    </i>
    <i>
      <x v="44"/>
    </i>
    <i>
      <x v="55"/>
    </i>
    <i>
      <x v="67"/>
    </i>
    <i>
      <x v="42"/>
    </i>
    <i>
      <x v="3"/>
    </i>
    <i>
      <x v="8"/>
    </i>
    <i>
      <x v="46"/>
    </i>
    <i>
      <x v="11"/>
    </i>
    <i>
      <x v="61"/>
    </i>
    <i>
      <x v="18"/>
    </i>
    <i>
      <x v="52"/>
    </i>
    <i>
      <x v="40"/>
    </i>
    <i>
      <x v="14"/>
    </i>
    <i>
      <x v="2"/>
    </i>
    <i>
      <x/>
    </i>
    <i t="grand">
      <x/>
    </i>
  </rowItems>
  <colItems count="1">
    <i/>
  </colItems>
  <dataFields count="1">
    <dataField name="Sum of Product pric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ype_of_transaction" sourceName="Type of transaction">
  <pivotTables>
    <pivotTable tabId="4" name="PivotTable3"/>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ranch_Clean" sourceName="Branch Clean">
  <pivotTables>
    <pivotTable tabId="4" name="PivotTable3"/>
  </pivotTables>
  <data>
    <tabular pivotCacheId="1">
      <items count="7">
        <i x="2" s="1"/>
        <i x="1" s="1"/>
        <i x="4" s="1"/>
        <i x="3" s="1"/>
        <i x="5"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4" name="PivotTable3"/>
  </pivotTables>
  <data>
    <tabular pivotCacheId="1">
      <items count="6">
        <i x="3" s="1"/>
        <i x="0" s="1"/>
        <i x="2" s="1"/>
        <i x="5"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BreakDown_Date" sourceName="BreakDown Date">
  <pivotTables>
    <pivotTable tabId="5" name="PivotTable4"/>
  </pivotTables>
  <data>
    <tabular pivotCacheId="1">
      <items count="14">
        <i x="0" s="1"/>
        <i x="1" s="1"/>
        <i x="2" s="1"/>
        <i x="3" s="1"/>
        <i x="4" s="1"/>
        <i x="5" s="1"/>
        <i x="6" s="1"/>
        <i x="7" s="1"/>
        <i x="8" s="1"/>
        <i x="9" s="1"/>
        <i x="10" s="1"/>
        <i x="11" s="1"/>
        <i x="12" s="1"/>
        <i x="1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5" name="PivotTable4"/>
  </pivotTables>
  <data>
    <tabular pivotCacheId="1">
      <items count="8">
        <i x="6" s="1"/>
        <i x="5" s="1"/>
        <i x="1" s="1"/>
        <i x="4" s="1"/>
        <i x="3" s="1"/>
        <i x="2" s="1"/>
        <i x="0" s="1"/>
        <i x="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Month1" sourceName="Month">
  <pivotTables>
    <pivotTable tabId="5" name="PivotTable4"/>
  </pivotTables>
  <data>
    <tabular pivotCacheId="1">
      <items count="6">
        <i x="3" s="1"/>
        <i x="0" s="1"/>
        <i x="2" s="1"/>
        <i x="5" s="1"/>
        <i x="1"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Product_price" sourceName="Product price">
  <pivotTables>
    <pivotTable tabId="8" name="PivotTable7"/>
  </pivotTables>
  <data>
    <tabular pivotCacheId="1">
      <items count="70">
        <i x="44" s="1"/>
        <i x="42" s="1"/>
        <i x="43" s="1"/>
        <i x="48" s="1"/>
        <i x="40" s="1"/>
        <i x="33" s="1"/>
        <i x="8" s="1"/>
        <i x="2" s="1"/>
        <i x="11" s="1"/>
        <i x="14" s="1"/>
        <i x="15" s="1"/>
        <i x="59" s="1"/>
        <i x="24" s="1"/>
        <i x="29" s="1"/>
        <i x="23" s="1"/>
        <i x="46" s="1"/>
        <i x="37" s="1"/>
        <i x="49" s="1"/>
        <i x="3" s="1"/>
        <i x="31" s="1"/>
        <i x="41" s="1"/>
        <i x="60" s="1"/>
        <i x="45" s="1"/>
        <i x="9" s="1"/>
        <i x="47" s="1"/>
        <i x="27" s="1"/>
        <i x="36" s="1"/>
        <i x="6" s="1"/>
        <i x="18" s="1"/>
        <i x="17" s="1"/>
        <i x="32" s="1"/>
        <i x="30" s="1"/>
        <i x="63" s="1"/>
        <i x="34" s="1"/>
        <i x="0" s="1"/>
        <i x="19" s="1"/>
        <i x="56" s="1"/>
        <i x="67" s="1"/>
        <i x="65" s="1"/>
        <i x="53" s="1"/>
        <i x="25" s="1"/>
        <i x="22" s="1"/>
        <i x="13" s="1"/>
        <i x="4" s="1"/>
        <i x="20" s="1"/>
        <i x="38" s="1"/>
        <i x="57" s="1"/>
        <i x="35" s="1"/>
        <i x="55" s="1"/>
        <i x="21" s="1"/>
        <i x="68" s="1"/>
        <i x="1" s="1"/>
        <i x="61" s="1"/>
        <i x="39" s="1"/>
        <i x="50" s="1"/>
        <i x="12" s="1"/>
        <i x="58" s="1"/>
        <i x="7" s="1"/>
        <i x="5" s="1"/>
        <i x="64" s="1"/>
        <i x="62" s="1"/>
        <i x="16" s="1"/>
        <i x="10" s="1"/>
        <i x="52" s="1"/>
        <i x="54" s="1"/>
        <i x="28" s="1"/>
        <i x="51" s="1"/>
        <i x="66" s="1"/>
        <i x="26" s="1"/>
        <i x="69"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Financed_amount" sourceName="Financed amount">
  <pivotTables>
    <pivotTable tabId="8" name="PivotTable7"/>
  </pivotTables>
  <data>
    <tabular pivotCacheId="1">
      <items count="70">
        <i x="44" s="1"/>
        <i x="42" s="1"/>
        <i x="43" s="1"/>
        <i x="48" s="1"/>
        <i x="40" s="1"/>
        <i x="33" s="1"/>
        <i x="8" s="1"/>
        <i x="2" s="1"/>
        <i x="11" s="1"/>
        <i x="14" s="1"/>
        <i x="15" s="1"/>
        <i x="59" s="1"/>
        <i x="24" s="1"/>
        <i x="29" s="1"/>
        <i x="23" s="1"/>
        <i x="46" s="1"/>
        <i x="37" s="1"/>
        <i x="49" s="1"/>
        <i x="3" s="1"/>
        <i x="31" s="1"/>
        <i x="41" s="1"/>
        <i x="60" s="1"/>
        <i x="45" s="1"/>
        <i x="9" s="1"/>
        <i x="47" s="1"/>
        <i x="27" s="1"/>
        <i x="36" s="1"/>
        <i x="6" s="1"/>
        <i x="18" s="1"/>
        <i x="17" s="1"/>
        <i x="32" s="1"/>
        <i x="30" s="1"/>
        <i x="63" s="1"/>
        <i x="34" s="1"/>
        <i x="0" s="1"/>
        <i x="19" s="1"/>
        <i x="56" s="1"/>
        <i x="67" s="1"/>
        <i x="65" s="1"/>
        <i x="53" s="1"/>
        <i x="25" s="1"/>
        <i x="22" s="1"/>
        <i x="13" s="1"/>
        <i x="4" s="1"/>
        <i x="20" s="1"/>
        <i x="38" s="1"/>
        <i x="57" s="1"/>
        <i x="35" s="1"/>
        <i x="55" s="1"/>
        <i x="21" s="1"/>
        <i x="68" s="1"/>
        <i x="1" s="1"/>
        <i x="61" s="1"/>
        <i x="39" s="1"/>
        <i x="50" s="1"/>
        <i x="12" s="1"/>
        <i x="58" s="1"/>
        <i x="7" s="1"/>
        <i x="5" s="1"/>
        <i x="64" s="1"/>
        <i x="62" s="1"/>
        <i x="16" s="1"/>
        <i x="10" s="1"/>
        <i x="52" s="1"/>
        <i x="54" s="1"/>
        <i x="28" s="1"/>
        <i x="51" s="1"/>
        <i x="66" s="1"/>
        <i x="26" s="1"/>
        <i x="6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ype of transaction" cache="Slicer_Type_of_transaction" caption="Type of transaction" rowHeight="241300"/>
  <slicer name="Branch Clean" cache="Slicer_Branch_Clean" caption="Branch Clean" rowHeight="241300"/>
  <slicer name="Month" cache="Slicer_Month" caption="Month" rowHeight="241300"/>
  <slicer name="BreakDown Date" cache="Slicer_BreakDown_Date" caption="BreakDown Date" rowHeight="241300"/>
  <slicer name="Branch" cache="Slicer_Branch" caption="Branch" rowHeight="241300"/>
  <slicer name="Month 1" cache="Slicer_Month1" caption="Month" rowHeight="241300"/>
  <slicer name="Product price" cache="Slicer_Product_price" caption="Product price" startItem="6" rowHeight="241300"/>
  <slicer name="Financed amount" cache="Slicer_Financed_amount" caption="Financed amou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3" sqref="A3"/>
    </sheetView>
  </sheetViews>
  <sheetFormatPr defaultRowHeight="14.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1"/>
  <sheetViews>
    <sheetView workbookViewId="0">
      <selection activeCell="A3" sqref="A3:C11"/>
    </sheetView>
  </sheetViews>
  <sheetFormatPr defaultRowHeight="14.25"/>
  <cols>
    <col min="1" max="1" width="19.125" bestFit="1" customWidth="1"/>
    <col min="2" max="2" width="19.75" bestFit="1" customWidth="1"/>
    <col min="3" max="3" width="21.25" bestFit="1" customWidth="1"/>
  </cols>
  <sheetData>
    <row r="3" spans="1:3">
      <c r="A3" s="30" t="s">
        <v>242</v>
      </c>
      <c r="B3" t="s">
        <v>250</v>
      </c>
      <c r="C3" t="s">
        <v>251</v>
      </c>
    </row>
    <row r="4" spans="1:3">
      <c r="A4" s="31" t="s">
        <v>243</v>
      </c>
      <c r="B4" s="32">
        <v>20145</v>
      </c>
      <c r="C4" s="32">
        <v>19540.650000000001</v>
      </c>
    </row>
    <row r="5" spans="1:3">
      <c r="A5" s="31" t="s">
        <v>244</v>
      </c>
      <c r="B5" s="32">
        <v>27780</v>
      </c>
      <c r="C5" s="32">
        <v>26686.6</v>
      </c>
    </row>
    <row r="6" spans="1:3">
      <c r="A6" s="31" t="s">
        <v>245</v>
      </c>
      <c r="B6" s="32">
        <v>55845</v>
      </c>
      <c r="C6" s="32">
        <v>53679.649999999994</v>
      </c>
    </row>
    <row r="7" spans="1:3">
      <c r="A7" s="31" t="s">
        <v>246</v>
      </c>
      <c r="B7" s="32">
        <v>31630</v>
      </c>
      <c r="C7" s="32">
        <v>29731.1</v>
      </c>
    </row>
    <row r="8" spans="1:3">
      <c r="A8" s="31" t="s">
        <v>94</v>
      </c>
      <c r="B8" s="32">
        <v>279960</v>
      </c>
      <c r="C8" s="32">
        <v>258378.90000000002</v>
      </c>
    </row>
    <row r="9" spans="1:3">
      <c r="A9" s="31" t="s">
        <v>247</v>
      </c>
      <c r="B9" s="32">
        <v>41840</v>
      </c>
      <c r="C9" s="32">
        <v>40042.800000000003</v>
      </c>
    </row>
    <row r="10" spans="1:3">
      <c r="A10" s="31" t="s">
        <v>248</v>
      </c>
      <c r="B10" s="32">
        <v>457200</v>
      </c>
      <c r="C10" s="32">
        <v>428059.7</v>
      </c>
    </row>
    <row r="11" spans="1:3">
      <c r="A11" s="31" t="s">
        <v>249</v>
      </c>
      <c r="B11" s="32">
        <v>914400</v>
      </c>
      <c r="C11" s="32">
        <v>856119.4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3" sqref="A3:B10"/>
    </sheetView>
  </sheetViews>
  <sheetFormatPr defaultRowHeight="14.25"/>
  <cols>
    <col min="1" max="1" width="13.125" bestFit="1" customWidth="1"/>
    <col min="2" max="2" width="19.75" bestFit="1" customWidth="1"/>
  </cols>
  <sheetData>
    <row r="3" spans="1:2">
      <c r="A3" s="30" t="s">
        <v>242</v>
      </c>
      <c r="B3" t="s">
        <v>250</v>
      </c>
    </row>
    <row r="4" spans="1:2">
      <c r="A4" s="31" t="s">
        <v>38</v>
      </c>
      <c r="B4" s="32">
        <v>0</v>
      </c>
    </row>
    <row r="5" spans="1:2">
      <c r="A5" s="31" t="s">
        <v>252</v>
      </c>
      <c r="B5" s="32">
        <v>30370</v>
      </c>
    </row>
    <row r="6" spans="1:2">
      <c r="A6" s="31" t="s">
        <v>253</v>
      </c>
      <c r="B6" s="32">
        <v>136850</v>
      </c>
    </row>
    <row r="7" spans="1:2">
      <c r="A7" s="31" t="s">
        <v>254</v>
      </c>
      <c r="B7" s="32">
        <v>457200</v>
      </c>
    </row>
    <row r="8" spans="1:2">
      <c r="A8" s="31" t="s">
        <v>255</v>
      </c>
      <c r="B8" s="32">
        <v>91480</v>
      </c>
    </row>
    <row r="9" spans="1:2">
      <c r="A9" s="31" t="s">
        <v>256</v>
      </c>
      <c r="B9" s="32">
        <v>198500</v>
      </c>
    </row>
    <row r="10" spans="1:2">
      <c r="A10" s="31" t="s">
        <v>249</v>
      </c>
      <c r="B10" s="32">
        <v>914400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8"/>
  <sheetViews>
    <sheetView workbookViewId="0">
      <selection activeCell="A3" sqref="A3:A8"/>
    </sheetView>
  </sheetViews>
  <sheetFormatPr defaultRowHeight="14.25"/>
  <cols>
    <col min="1" max="1" width="32.75" bestFit="1" customWidth="1"/>
  </cols>
  <sheetData>
    <row r="3" spans="1:1">
      <c r="A3" s="30" t="s">
        <v>242</v>
      </c>
    </row>
    <row r="4" spans="1:1">
      <c r="A4" s="31" t="s">
        <v>181</v>
      </c>
    </row>
    <row r="5" spans="1:1">
      <c r="A5" s="31" t="s">
        <v>171</v>
      </c>
    </row>
    <row r="6" spans="1:1">
      <c r="A6" s="31" t="s">
        <v>33</v>
      </c>
    </row>
    <row r="7" spans="1:1">
      <c r="A7" s="31" t="s">
        <v>257</v>
      </c>
    </row>
    <row r="8" spans="1:1">
      <c r="A8" s="31" t="s">
        <v>249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A3" sqref="A3:C8"/>
    </sheetView>
  </sheetViews>
  <sheetFormatPr defaultRowHeight="14.25"/>
  <cols>
    <col min="1" max="1" width="32.75" bestFit="1" customWidth="1"/>
    <col min="2" max="2" width="19.75" bestFit="1" customWidth="1"/>
    <col min="3" max="3" width="23" bestFit="1" customWidth="1"/>
  </cols>
  <sheetData>
    <row r="3" spans="1:3">
      <c r="A3" s="30" t="s">
        <v>242</v>
      </c>
      <c r="B3" t="s">
        <v>250</v>
      </c>
      <c r="C3" t="s">
        <v>258</v>
      </c>
    </row>
    <row r="4" spans="1:3">
      <c r="A4" s="31" t="s">
        <v>181</v>
      </c>
      <c r="B4" s="32">
        <v>0</v>
      </c>
      <c r="C4" s="32">
        <v>0</v>
      </c>
    </row>
    <row r="5" spans="1:3">
      <c r="A5" s="31" t="s">
        <v>171</v>
      </c>
      <c r="B5" s="32">
        <v>-31595</v>
      </c>
      <c r="C5" s="32">
        <v>-31595</v>
      </c>
    </row>
    <row r="6" spans="1:3">
      <c r="A6" s="31" t="s">
        <v>33</v>
      </c>
      <c r="B6" s="32">
        <v>488795</v>
      </c>
      <c r="C6" s="32">
        <v>488795</v>
      </c>
    </row>
    <row r="7" spans="1:3">
      <c r="A7" s="31" t="s">
        <v>257</v>
      </c>
      <c r="B7" s="32">
        <v>457200</v>
      </c>
      <c r="C7" s="32">
        <v>457200</v>
      </c>
    </row>
    <row r="8" spans="1:3">
      <c r="A8" s="31" t="s">
        <v>249</v>
      </c>
      <c r="B8" s="32">
        <v>914400</v>
      </c>
      <c r="C8" s="32">
        <v>914400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P2"/>
  <sheetViews>
    <sheetView tabSelected="1" topLeftCell="A5" workbookViewId="0">
      <selection activeCell="S29" sqref="S29"/>
    </sheetView>
  </sheetViews>
  <sheetFormatPr defaultRowHeight="14.25"/>
  <sheetData>
    <row r="1" spans="9:16">
      <c r="I1" s="26" t="s">
        <v>259</v>
      </c>
      <c r="J1" s="26"/>
      <c r="K1" s="26" t="s">
        <v>260</v>
      </c>
      <c r="L1" s="26"/>
      <c r="M1" s="26" t="s">
        <v>261</v>
      </c>
      <c r="N1" s="26"/>
      <c r="O1" s="26" t="s">
        <v>262</v>
      </c>
      <c r="P1" s="26"/>
    </row>
    <row r="2" spans="9:16">
      <c r="I2" s="28">
        <v>457200</v>
      </c>
      <c r="J2" s="28"/>
      <c r="K2" s="28">
        <v>428059.7</v>
      </c>
      <c r="L2" s="28"/>
      <c r="M2" s="28">
        <v>13716</v>
      </c>
      <c r="N2" s="28"/>
      <c r="O2" s="28">
        <v>76</v>
      </c>
      <c r="P2" s="2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8"/>
  <sheetViews>
    <sheetView workbookViewId="0">
      <selection activeCell="B5" sqref="B5"/>
    </sheetView>
  </sheetViews>
  <sheetFormatPr defaultRowHeight="14.25"/>
  <cols>
    <col min="1" max="1" width="55.125" bestFit="1" customWidth="1"/>
    <col min="2" max="2" width="19.75" bestFit="1" customWidth="1"/>
  </cols>
  <sheetData>
    <row r="3" spans="1:2">
      <c r="A3" s="30" t="s">
        <v>242</v>
      </c>
      <c r="B3" t="s">
        <v>250</v>
      </c>
    </row>
    <row r="4" spans="1:2">
      <c r="A4" s="31" t="s">
        <v>257</v>
      </c>
      <c r="B4" s="32">
        <v>457200</v>
      </c>
    </row>
    <row r="5" spans="1:2">
      <c r="A5" s="31" t="s">
        <v>191</v>
      </c>
      <c r="B5" s="32">
        <v>62150</v>
      </c>
    </row>
    <row r="6" spans="1:2">
      <c r="A6" s="31" t="s">
        <v>125</v>
      </c>
      <c r="B6" s="32">
        <v>49340</v>
      </c>
    </row>
    <row r="7" spans="1:2">
      <c r="A7" s="31" t="s">
        <v>132</v>
      </c>
      <c r="B7" s="32">
        <v>21600</v>
      </c>
    </row>
    <row r="8" spans="1:2">
      <c r="A8" s="31" t="s">
        <v>200</v>
      </c>
      <c r="B8" s="32">
        <v>17765</v>
      </c>
    </row>
    <row r="9" spans="1:2">
      <c r="A9" s="31" t="s">
        <v>195</v>
      </c>
      <c r="B9" s="32">
        <v>17590</v>
      </c>
    </row>
    <row r="10" spans="1:2">
      <c r="A10" s="31" t="s">
        <v>77</v>
      </c>
      <c r="B10" s="32">
        <v>14040</v>
      </c>
    </row>
    <row r="11" spans="1:2">
      <c r="A11" s="31" t="s">
        <v>101</v>
      </c>
      <c r="B11" s="32">
        <v>12865</v>
      </c>
    </row>
    <row r="12" spans="1:2">
      <c r="A12" s="31" t="s">
        <v>223</v>
      </c>
      <c r="B12" s="32">
        <v>10000</v>
      </c>
    </row>
    <row r="13" spans="1:2">
      <c r="A13" s="31" t="s">
        <v>227</v>
      </c>
      <c r="B13" s="32">
        <v>9040</v>
      </c>
    </row>
    <row r="14" spans="1:2">
      <c r="A14" s="31" t="s">
        <v>57</v>
      </c>
      <c r="B14" s="32">
        <v>8640</v>
      </c>
    </row>
    <row r="15" spans="1:2">
      <c r="A15" s="31" t="s">
        <v>65</v>
      </c>
      <c r="B15" s="32">
        <v>8100</v>
      </c>
    </row>
    <row r="16" spans="1:2">
      <c r="A16" s="31" t="s">
        <v>211</v>
      </c>
      <c r="B16" s="32">
        <v>8000</v>
      </c>
    </row>
    <row r="17" spans="1:2">
      <c r="A17" s="31" t="s">
        <v>85</v>
      </c>
      <c r="B17" s="32">
        <v>7990</v>
      </c>
    </row>
    <row r="18" spans="1:2">
      <c r="A18" s="31" t="s">
        <v>188</v>
      </c>
      <c r="B18" s="32">
        <v>7700</v>
      </c>
    </row>
    <row r="19" spans="1:2">
      <c r="A19" s="31" t="s">
        <v>166</v>
      </c>
      <c r="B19" s="32">
        <v>7500</v>
      </c>
    </row>
    <row r="20" spans="1:2">
      <c r="A20" s="31" t="s">
        <v>218</v>
      </c>
      <c r="B20" s="32">
        <v>7430</v>
      </c>
    </row>
    <row r="21" spans="1:2">
      <c r="A21" s="31" t="s">
        <v>48</v>
      </c>
      <c r="B21" s="32">
        <v>7420</v>
      </c>
    </row>
    <row r="22" spans="1:2">
      <c r="A22" s="31" t="s">
        <v>237</v>
      </c>
      <c r="B22" s="32">
        <v>6660</v>
      </c>
    </row>
    <row r="23" spans="1:2">
      <c r="A23" s="31" t="s">
        <v>113</v>
      </c>
      <c r="B23" s="32">
        <v>6450</v>
      </c>
    </row>
    <row r="24" spans="1:2">
      <c r="A24" s="31" t="s">
        <v>202</v>
      </c>
      <c r="B24" s="32">
        <v>6425</v>
      </c>
    </row>
    <row r="25" spans="1:2">
      <c r="A25" s="31" t="s">
        <v>153</v>
      </c>
      <c r="B25" s="32">
        <v>5680</v>
      </c>
    </row>
    <row r="26" spans="1:2">
      <c r="A26" s="31" t="s">
        <v>207</v>
      </c>
      <c r="B26" s="32">
        <v>5670</v>
      </c>
    </row>
    <row r="27" spans="1:2">
      <c r="A27" s="31" t="s">
        <v>164</v>
      </c>
      <c r="B27" s="32">
        <v>5610</v>
      </c>
    </row>
    <row r="28" spans="1:2">
      <c r="A28" s="31" t="s">
        <v>111</v>
      </c>
      <c r="B28" s="32">
        <v>5400</v>
      </c>
    </row>
    <row r="29" spans="1:2">
      <c r="A29" s="31" t="s">
        <v>55</v>
      </c>
      <c r="B29" s="32">
        <v>4930</v>
      </c>
    </row>
    <row r="30" spans="1:2">
      <c r="A30" s="31" t="s">
        <v>88</v>
      </c>
      <c r="B30" s="32">
        <v>4850</v>
      </c>
    </row>
    <row r="31" spans="1:2">
      <c r="A31" s="31" t="s">
        <v>116</v>
      </c>
      <c r="B31" s="32">
        <v>4785</v>
      </c>
    </row>
    <row r="32" spans="1:2">
      <c r="A32" s="31" t="s">
        <v>123</v>
      </c>
      <c r="B32" s="32">
        <v>4765</v>
      </c>
    </row>
    <row r="33" spans="1:2">
      <c r="A33" s="31" t="s">
        <v>197</v>
      </c>
      <c r="B33" s="32">
        <v>4615</v>
      </c>
    </row>
    <row r="34" spans="1:2">
      <c r="A34" s="31" t="s">
        <v>231</v>
      </c>
      <c r="B34" s="32">
        <v>4600</v>
      </c>
    </row>
    <row r="35" spans="1:2">
      <c r="A35" s="31" t="s">
        <v>234</v>
      </c>
      <c r="B35" s="32">
        <v>4530</v>
      </c>
    </row>
    <row r="36" spans="1:2">
      <c r="A36" s="31" t="s">
        <v>229</v>
      </c>
      <c r="B36" s="32">
        <v>4500</v>
      </c>
    </row>
    <row r="37" spans="1:2">
      <c r="A37" s="31" t="s">
        <v>220</v>
      </c>
      <c r="B37" s="32">
        <v>4500</v>
      </c>
    </row>
    <row r="38" spans="1:2">
      <c r="A38" s="31" t="s">
        <v>204</v>
      </c>
      <c r="B38" s="32">
        <v>4500</v>
      </c>
    </row>
    <row r="39" spans="1:2">
      <c r="A39" s="31" t="s">
        <v>149</v>
      </c>
      <c r="B39" s="32">
        <v>4465</v>
      </c>
    </row>
    <row r="40" spans="1:2">
      <c r="A40" s="31" t="s">
        <v>109</v>
      </c>
      <c r="B40" s="32">
        <v>4450</v>
      </c>
    </row>
    <row r="41" spans="1:2">
      <c r="A41" s="31" t="s">
        <v>40</v>
      </c>
      <c r="B41" s="32">
        <v>4410</v>
      </c>
    </row>
    <row r="42" spans="1:2">
      <c r="A42" s="31" t="s">
        <v>225</v>
      </c>
      <c r="B42" s="32">
        <v>4300</v>
      </c>
    </row>
    <row r="43" spans="1:2">
      <c r="A43" s="31" t="s">
        <v>137</v>
      </c>
      <c r="B43" s="32">
        <v>4275</v>
      </c>
    </row>
    <row r="44" spans="1:2">
      <c r="A44" s="31" t="s">
        <v>143</v>
      </c>
      <c r="B44" s="32">
        <v>4145</v>
      </c>
    </row>
    <row r="45" spans="1:2">
      <c r="A45" s="31" t="s">
        <v>145</v>
      </c>
      <c r="B45" s="32">
        <v>4145</v>
      </c>
    </row>
    <row r="46" spans="1:2">
      <c r="A46" s="31" t="s">
        <v>103</v>
      </c>
      <c r="B46" s="32">
        <v>3980</v>
      </c>
    </row>
    <row r="47" spans="1:2">
      <c r="A47" s="31" t="s">
        <v>107</v>
      </c>
      <c r="B47" s="32">
        <v>3950</v>
      </c>
    </row>
    <row r="48" spans="1:2">
      <c r="A48" s="31" t="s">
        <v>105</v>
      </c>
      <c r="B48" s="32">
        <v>3950</v>
      </c>
    </row>
    <row r="49" spans="1:2">
      <c r="A49" s="31" t="s">
        <v>59</v>
      </c>
      <c r="B49" s="32">
        <v>3915</v>
      </c>
    </row>
    <row r="50" spans="1:2">
      <c r="A50" s="31" t="s">
        <v>155</v>
      </c>
      <c r="B50" s="32">
        <v>3880</v>
      </c>
    </row>
    <row r="51" spans="1:2">
      <c r="A51" s="31" t="s">
        <v>141</v>
      </c>
      <c r="B51" s="32">
        <v>3850</v>
      </c>
    </row>
    <row r="52" spans="1:2">
      <c r="A52" s="31" t="s">
        <v>128</v>
      </c>
      <c r="B52" s="32">
        <v>3850</v>
      </c>
    </row>
    <row r="53" spans="1:2">
      <c r="A53" s="31" t="s">
        <v>180</v>
      </c>
      <c r="B53" s="32">
        <v>3790</v>
      </c>
    </row>
    <row r="54" spans="1:2">
      <c r="A54" s="31" t="s">
        <v>71</v>
      </c>
      <c r="B54" s="32">
        <v>3600</v>
      </c>
    </row>
    <row r="55" spans="1:2">
      <c r="A55" s="31" t="s">
        <v>175</v>
      </c>
      <c r="B55" s="32">
        <v>3580</v>
      </c>
    </row>
    <row r="56" spans="1:2">
      <c r="A56" s="31" t="s">
        <v>216</v>
      </c>
      <c r="B56" s="32">
        <v>3230</v>
      </c>
    </row>
    <row r="57" spans="1:2">
      <c r="A57" s="31" t="s">
        <v>170</v>
      </c>
      <c r="B57" s="32">
        <v>3220</v>
      </c>
    </row>
    <row r="58" spans="1:2">
      <c r="A58" s="31" t="s">
        <v>139</v>
      </c>
      <c r="B58" s="32">
        <v>3210</v>
      </c>
    </row>
    <row r="59" spans="1:2">
      <c r="A59" s="31" t="s">
        <v>151</v>
      </c>
      <c r="B59" s="32">
        <v>3210</v>
      </c>
    </row>
    <row r="60" spans="1:2">
      <c r="A60" s="31" t="s">
        <v>157</v>
      </c>
      <c r="B60" s="32">
        <v>3210</v>
      </c>
    </row>
    <row r="61" spans="1:2">
      <c r="A61" s="31" t="s">
        <v>159</v>
      </c>
      <c r="B61" s="32">
        <v>3210</v>
      </c>
    </row>
    <row r="62" spans="1:2">
      <c r="A62" s="31" t="s">
        <v>168</v>
      </c>
      <c r="B62" s="32">
        <v>3210</v>
      </c>
    </row>
    <row r="63" spans="1:2">
      <c r="A63" s="31" t="s">
        <v>52</v>
      </c>
      <c r="B63" s="32">
        <v>3080</v>
      </c>
    </row>
    <row r="64" spans="1:2">
      <c r="A64" s="31" t="s">
        <v>184</v>
      </c>
      <c r="B64" s="32">
        <v>3000</v>
      </c>
    </row>
    <row r="65" spans="1:2">
      <c r="A65" s="31" t="s">
        <v>161</v>
      </c>
      <c r="B65" s="32">
        <v>2890</v>
      </c>
    </row>
    <row r="66" spans="1:2">
      <c r="A66" s="31" t="s">
        <v>178</v>
      </c>
      <c r="B66" s="32">
        <v>2850</v>
      </c>
    </row>
    <row r="67" spans="1:2">
      <c r="A67" s="31" t="s">
        <v>118</v>
      </c>
      <c r="B67" s="32">
        <v>2650</v>
      </c>
    </row>
    <row r="68" spans="1:2">
      <c r="A68" s="31" t="s">
        <v>135</v>
      </c>
      <c r="B68" s="32">
        <v>2400</v>
      </c>
    </row>
    <row r="69" spans="1:2">
      <c r="A69" s="31" t="s">
        <v>120</v>
      </c>
      <c r="B69" s="32">
        <v>2375</v>
      </c>
    </row>
    <row r="70" spans="1:2">
      <c r="A70" s="31" t="s">
        <v>214</v>
      </c>
      <c r="B70" s="32">
        <v>2295</v>
      </c>
    </row>
    <row r="71" spans="1:2">
      <c r="A71" s="31" t="s">
        <v>98</v>
      </c>
      <c r="B71" s="32">
        <v>2290</v>
      </c>
    </row>
    <row r="72" spans="1:2">
      <c r="A72" s="31" t="s">
        <v>95</v>
      </c>
      <c r="B72" s="32">
        <v>2250</v>
      </c>
    </row>
    <row r="73" spans="1:2">
      <c r="A73" s="31" t="s">
        <v>83</v>
      </c>
      <c r="B73" s="32">
        <v>1900</v>
      </c>
    </row>
    <row r="74" spans="1:2">
      <c r="A74" s="31" t="s">
        <v>50</v>
      </c>
      <c r="B74" s="32">
        <v>1890</v>
      </c>
    </row>
    <row r="75" spans="1:2">
      <c r="A75" s="31" t="s">
        <v>69</v>
      </c>
      <c r="B75" s="32">
        <v>1500</v>
      </c>
    </row>
    <row r="76" spans="1:2">
      <c r="A76" s="31" t="s">
        <v>147</v>
      </c>
      <c r="B76" s="32">
        <v>750</v>
      </c>
    </row>
    <row r="77" spans="1:2">
      <c r="A77" s="31" t="s">
        <v>38</v>
      </c>
      <c r="B77" s="32">
        <v>-31595</v>
      </c>
    </row>
    <row r="78" spans="1:2">
      <c r="A78" s="31" t="s">
        <v>249</v>
      </c>
      <c r="B78" s="32">
        <v>914400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81"/>
  <sheetViews>
    <sheetView workbookViewId="0"/>
  </sheetViews>
  <sheetFormatPr defaultColWidth="28.875" defaultRowHeight="14.25"/>
  <cols>
    <col min="1" max="1" width="21.375" customWidth="1"/>
    <col min="2" max="2" width="76" customWidth="1"/>
    <col min="33" max="33" width="78" customWidth="1"/>
    <col min="34" max="34" width="28.875" style="24"/>
  </cols>
  <sheetData>
    <row r="1" spans="1:34" ht="15">
      <c r="A1" s="1" t="s">
        <v>0</v>
      </c>
      <c r="B1" s="2" t="s">
        <v>1</v>
      </c>
      <c r="C1" s="2" t="s">
        <v>2</v>
      </c>
      <c r="D1" s="2" t="s">
        <v>3</v>
      </c>
      <c r="E1" s="2" t="s">
        <v>4</v>
      </c>
      <c r="F1" s="2" t="s">
        <v>5</v>
      </c>
      <c r="G1" s="2" t="s">
        <v>6</v>
      </c>
      <c r="H1" s="3" t="s">
        <v>7</v>
      </c>
      <c r="I1" s="2" t="s">
        <v>8</v>
      </c>
      <c r="J1" s="2" t="s">
        <v>9</v>
      </c>
      <c r="K1" s="4" t="s">
        <v>10</v>
      </c>
      <c r="L1" s="2" t="s">
        <v>11</v>
      </c>
      <c r="M1" s="2" t="s">
        <v>12</v>
      </c>
      <c r="N1" s="2" t="s">
        <v>13</v>
      </c>
      <c r="O1" s="2" t="s">
        <v>14</v>
      </c>
      <c r="P1" s="2" t="s">
        <v>15</v>
      </c>
      <c r="Q1" s="2" t="s">
        <v>16</v>
      </c>
      <c r="R1" s="2" t="s">
        <v>17</v>
      </c>
      <c r="S1" s="2" t="s">
        <v>18</v>
      </c>
      <c r="T1" s="2" t="s">
        <v>19</v>
      </c>
      <c r="U1" s="3" t="s">
        <v>20</v>
      </c>
      <c r="V1" s="5" t="s">
        <v>21</v>
      </c>
      <c r="W1" s="5" t="s">
        <v>22</v>
      </c>
      <c r="X1" s="2" t="s">
        <v>23</v>
      </c>
      <c r="Y1" s="4" t="s">
        <v>24</v>
      </c>
      <c r="Z1" s="2" t="s">
        <v>25</v>
      </c>
      <c r="AA1" s="2" t="s">
        <v>26</v>
      </c>
      <c r="AB1" s="2" t="s">
        <v>27</v>
      </c>
      <c r="AC1" s="2" t="s">
        <v>28</v>
      </c>
      <c r="AD1" s="6" t="s">
        <v>29</v>
      </c>
      <c r="AE1" s="2" t="s">
        <v>30</v>
      </c>
      <c r="AF1" s="7" t="s">
        <v>31</v>
      </c>
      <c r="AG1" s="26" t="s">
        <v>240</v>
      </c>
      <c r="AH1" s="26" t="s">
        <v>241</v>
      </c>
    </row>
    <row r="2" spans="1:34" ht="15">
      <c r="A2" s="8">
        <v>46035</v>
      </c>
      <c r="B2" s="9" t="s">
        <v>32</v>
      </c>
      <c r="C2" s="9" t="s">
        <v>33</v>
      </c>
      <c r="D2" s="9" t="s">
        <v>34</v>
      </c>
      <c r="E2" s="9" t="s">
        <v>35</v>
      </c>
      <c r="F2" s="9" t="s">
        <v>35</v>
      </c>
      <c r="G2" s="9" t="s">
        <v>36</v>
      </c>
      <c r="H2" s="10" t="s">
        <v>37</v>
      </c>
      <c r="I2" s="9">
        <v>2051112543</v>
      </c>
      <c r="J2" s="11">
        <v>2812255927837</v>
      </c>
      <c r="K2" s="12">
        <v>46019.732916666668</v>
      </c>
      <c r="L2" s="10">
        <v>4410</v>
      </c>
      <c r="M2" s="10">
        <v>0</v>
      </c>
      <c r="N2" s="10">
        <v>4410</v>
      </c>
      <c r="O2" s="10">
        <v>4410</v>
      </c>
      <c r="P2" s="10">
        <v>133</v>
      </c>
      <c r="Q2" s="10">
        <v>132.30000000000001</v>
      </c>
      <c r="R2" s="10">
        <v>0</v>
      </c>
      <c r="S2" s="10">
        <v>0</v>
      </c>
      <c r="T2" s="10">
        <v>0</v>
      </c>
      <c r="U2" s="10">
        <v>4144.7</v>
      </c>
      <c r="V2" s="13">
        <v>3.0000000000000002E-2</v>
      </c>
      <c r="W2" s="13">
        <v>3.0158730158730159E-2</v>
      </c>
      <c r="X2" s="9">
        <v>9</v>
      </c>
      <c r="Y2" s="14" t="s">
        <v>38</v>
      </c>
      <c r="Z2" s="9" t="s">
        <v>39</v>
      </c>
      <c r="AA2" s="9" t="s">
        <v>40</v>
      </c>
      <c r="AB2" s="10" t="s">
        <v>41</v>
      </c>
      <c r="AC2" s="10" t="s">
        <v>38</v>
      </c>
      <c r="AD2" s="15">
        <v>210922</v>
      </c>
      <c r="AE2" s="9" t="s">
        <v>42</v>
      </c>
      <c r="AF2" s="16" t="e">
        <f>-AF1</f>
        <v>#VALUE!</v>
      </c>
      <c r="AG2" s="28" t="str">
        <f>IF(ISNUMBER(SEARCH("Mall Of Arabia",B2)),"Mall Of Arabia",IF(ISNUMBER(SEARCH("Alexandria",B2)),"City Center Alexandria",IF(ISNUMBER(SEARCH("CFC",B2)),"CFC",IF(ISNUMBER(SEARCH("City Stars",B2)),"City Stars",IF(ISNUMBER(SEARCH("Almaza",B2)),"City Center Almaza",IF(ISNUMBER(SEARCH("Ecommerce",B2)),"Ecommerce","Other"))))))</f>
        <v>Mall Of Arabia</v>
      </c>
      <c r="AH2" s="29" t="str">
        <f>TEXT(K2,"MMM-YYYY")</f>
        <v>Dec-2025</v>
      </c>
    </row>
    <row r="3" spans="1:34" ht="15">
      <c r="A3" s="8">
        <v>46035</v>
      </c>
      <c r="B3" s="9" t="s">
        <v>43</v>
      </c>
      <c r="C3" s="9" t="s">
        <v>33</v>
      </c>
      <c r="D3" s="9" t="s">
        <v>44</v>
      </c>
      <c r="E3" s="9" t="s">
        <v>35</v>
      </c>
      <c r="F3" s="9" t="s">
        <v>35</v>
      </c>
      <c r="G3" s="9" t="s">
        <v>45</v>
      </c>
      <c r="H3" s="10" t="s">
        <v>46</v>
      </c>
      <c r="I3" s="9">
        <v>2047566795</v>
      </c>
      <c r="J3" s="11">
        <v>2512255919103</v>
      </c>
      <c r="K3" s="12">
        <v>46016.788101851853</v>
      </c>
      <c r="L3" s="10">
        <v>7420</v>
      </c>
      <c r="M3" s="10">
        <v>0</v>
      </c>
      <c r="N3" s="10">
        <v>7420</v>
      </c>
      <c r="O3" s="10">
        <v>7420</v>
      </c>
      <c r="P3" s="10">
        <v>0</v>
      </c>
      <c r="Q3" s="10">
        <v>222.6</v>
      </c>
      <c r="R3" s="10">
        <v>0</v>
      </c>
      <c r="S3" s="10">
        <v>0</v>
      </c>
      <c r="T3" s="10">
        <v>0</v>
      </c>
      <c r="U3" s="10">
        <v>7197.4</v>
      </c>
      <c r="V3" s="13">
        <v>0.03</v>
      </c>
      <c r="W3" s="13">
        <v>0</v>
      </c>
      <c r="X3" s="9">
        <v>3</v>
      </c>
      <c r="Y3" s="14" t="s">
        <v>38</v>
      </c>
      <c r="Z3" s="9" t="s">
        <v>47</v>
      </c>
      <c r="AA3" s="9" t="s">
        <v>48</v>
      </c>
      <c r="AB3" s="10" t="s">
        <v>41</v>
      </c>
      <c r="AC3" s="10" t="s">
        <v>38</v>
      </c>
      <c r="AD3" s="15">
        <v>210922</v>
      </c>
      <c r="AE3" s="9" t="s">
        <v>42</v>
      </c>
      <c r="AF3" s="16" t="s">
        <v>38</v>
      </c>
      <c r="AG3" s="28" t="str">
        <f t="shared" ref="AG3:AG66" si="0">IF(ISNUMBER(SEARCH("Mall Of Arabia",B3)),"Mall Of Arabia",IF(ISNUMBER(SEARCH("Alexandria",B3)),"City Center Alexandria",IF(ISNUMBER(SEARCH("CFC",B3)),"CFC",IF(ISNUMBER(SEARCH("City Stars",B3)),"City Stars",IF(ISNUMBER(SEARCH("Almaza",B3)),"City Center Almaza",IF(ISNUMBER(SEARCH("Ecommerce",B3)),"Ecommerce","Other"))))))</f>
        <v>City Center Alexandria</v>
      </c>
      <c r="AH3" s="29" t="str">
        <f t="shared" ref="AH3:AH66" si="1">TEXT(K3,"MMM-YYYY")</f>
        <v>Dec-2025</v>
      </c>
    </row>
    <row r="4" spans="1:34" ht="15">
      <c r="A4" s="8">
        <v>46035</v>
      </c>
      <c r="B4" s="9" t="s">
        <v>32</v>
      </c>
      <c r="C4" s="9" t="s">
        <v>33</v>
      </c>
      <c r="D4" s="9" t="s">
        <v>34</v>
      </c>
      <c r="E4" s="9" t="s">
        <v>35</v>
      </c>
      <c r="F4" s="9" t="s">
        <v>35</v>
      </c>
      <c r="G4" s="9" t="s">
        <v>36</v>
      </c>
      <c r="H4" s="10" t="s">
        <v>49</v>
      </c>
      <c r="I4" s="9">
        <v>2054158340</v>
      </c>
      <c r="J4" s="11">
        <v>3012255933252</v>
      </c>
      <c r="K4" s="12">
        <v>46021.763969907406</v>
      </c>
      <c r="L4" s="10">
        <v>1890</v>
      </c>
      <c r="M4" s="10">
        <v>0</v>
      </c>
      <c r="N4" s="10">
        <v>1890</v>
      </c>
      <c r="O4" s="10">
        <v>1890</v>
      </c>
      <c r="P4" s="10">
        <v>0</v>
      </c>
      <c r="Q4" s="10">
        <v>56.7</v>
      </c>
      <c r="R4" s="10">
        <v>0</v>
      </c>
      <c r="S4" s="10">
        <v>0</v>
      </c>
      <c r="T4" s="10">
        <v>0</v>
      </c>
      <c r="U4" s="10">
        <v>1833.3</v>
      </c>
      <c r="V4" s="13">
        <v>3.0000000000000002E-2</v>
      </c>
      <c r="W4" s="13">
        <v>0</v>
      </c>
      <c r="X4" s="9">
        <v>3</v>
      </c>
      <c r="Y4" s="14" t="s">
        <v>38</v>
      </c>
      <c r="Z4" s="9" t="s">
        <v>39</v>
      </c>
      <c r="AA4" s="9" t="s">
        <v>50</v>
      </c>
      <c r="AB4" s="10" t="s">
        <v>41</v>
      </c>
      <c r="AC4" s="10" t="s">
        <v>38</v>
      </c>
      <c r="AD4" s="15">
        <v>210922</v>
      </c>
      <c r="AE4" s="9" t="s">
        <v>42</v>
      </c>
      <c r="AF4" s="27" t="s">
        <v>38</v>
      </c>
      <c r="AG4" s="28" t="str">
        <f t="shared" si="0"/>
        <v>Mall Of Arabia</v>
      </c>
      <c r="AH4" s="29" t="str">
        <f t="shared" si="1"/>
        <v>Dec-2025</v>
      </c>
    </row>
    <row r="5" spans="1:34" ht="15">
      <c r="A5" s="8">
        <v>46035</v>
      </c>
      <c r="B5" s="9" t="s">
        <v>43</v>
      </c>
      <c r="C5" s="9" t="s">
        <v>33</v>
      </c>
      <c r="D5" s="9" t="s">
        <v>44</v>
      </c>
      <c r="E5" s="9" t="s">
        <v>35</v>
      </c>
      <c r="F5" s="9" t="s">
        <v>35</v>
      </c>
      <c r="G5" s="9" t="s">
        <v>45</v>
      </c>
      <c r="H5" s="10" t="s">
        <v>51</v>
      </c>
      <c r="I5" s="9">
        <v>2044315282</v>
      </c>
      <c r="J5" s="11">
        <v>2312255912379</v>
      </c>
      <c r="K5" s="12">
        <v>46014.84269675926</v>
      </c>
      <c r="L5" s="10">
        <v>3080</v>
      </c>
      <c r="M5" s="10">
        <v>0</v>
      </c>
      <c r="N5" s="10">
        <v>3080</v>
      </c>
      <c r="O5" s="10">
        <v>3080</v>
      </c>
      <c r="P5" s="10">
        <v>0</v>
      </c>
      <c r="Q5" s="10">
        <v>92.4</v>
      </c>
      <c r="R5" s="10">
        <v>0</v>
      </c>
      <c r="S5" s="10">
        <v>0</v>
      </c>
      <c r="T5" s="10">
        <v>0</v>
      </c>
      <c r="U5" s="10">
        <v>2987.6</v>
      </c>
      <c r="V5" s="13">
        <v>3.0000000000000002E-2</v>
      </c>
      <c r="W5" s="13">
        <v>0</v>
      </c>
      <c r="X5" s="9">
        <v>1</v>
      </c>
      <c r="Y5" s="14" t="s">
        <v>38</v>
      </c>
      <c r="Z5" s="9" t="s">
        <v>47</v>
      </c>
      <c r="AA5" s="9" t="s">
        <v>52</v>
      </c>
      <c r="AB5" s="10" t="s">
        <v>41</v>
      </c>
      <c r="AC5" s="10" t="s">
        <v>38</v>
      </c>
      <c r="AD5" s="15">
        <v>210922</v>
      </c>
      <c r="AE5" s="9" t="s">
        <v>42</v>
      </c>
      <c r="AF5" s="16" t="s">
        <v>38</v>
      </c>
      <c r="AG5" s="28" t="str">
        <f t="shared" si="0"/>
        <v>City Center Alexandria</v>
      </c>
      <c r="AH5" s="29" t="str">
        <f t="shared" si="1"/>
        <v>Dec-2025</v>
      </c>
    </row>
    <row r="6" spans="1:34" ht="15">
      <c r="A6" s="8">
        <v>46035</v>
      </c>
      <c r="B6" s="9" t="s">
        <v>32</v>
      </c>
      <c r="C6" s="9" t="s">
        <v>33</v>
      </c>
      <c r="D6" s="9" t="s">
        <v>53</v>
      </c>
      <c r="E6" s="9" t="s">
        <v>35</v>
      </c>
      <c r="F6" s="9" t="s">
        <v>35</v>
      </c>
      <c r="G6" s="9" t="s">
        <v>36</v>
      </c>
      <c r="H6" s="10" t="s">
        <v>54</v>
      </c>
      <c r="I6" s="9">
        <v>2049635203</v>
      </c>
      <c r="J6" s="11">
        <v>2712255924779</v>
      </c>
      <c r="K6" s="12">
        <v>46018.682858796295</v>
      </c>
      <c r="L6" s="10">
        <v>4930</v>
      </c>
      <c r="M6" s="10">
        <v>0</v>
      </c>
      <c r="N6" s="10">
        <v>4930</v>
      </c>
      <c r="O6" s="10">
        <v>4930</v>
      </c>
      <c r="P6" s="10">
        <v>148</v>
      </c>
      <c r="Q6" s="10">
        <v>147.9</v>
      </c>
      <c r="R6" s="10">
        <v>0</v>
      </c>
      <c r="S6" s="10">
        <v>0</v>
      </c>
      <c r="T6" s="10">
        <v>0</v>
      </c>
      <c r="U6" s="10">
        <v>4634.1000000000004</v>
      </c>
      <c r="V6" s="13">
        <v>3.0000000000000002E-2</v>
      </c>
      <c r="W6" s="13">
        <v>3.0020283975659229E-2</v>
      </c>
      <c r="X6" s="9">
        <v>12</v>
      </c>
      <c r="Y6" s="14" t="s">
        <v>38</v>
      </c>
      <c r="Z6" s="9" t="s">
        <v>39</v>
      </c>
      <c r="AA6" s="9" t="s">
        <v>55</v>
      </c>
      <c r="AB6" s="10" t="s">
        <v>41</v>
      </c>
      <c r="AC6" s="10" t="s">
        <v>38</v>
      </c>
      <c r="AD6" s="15">
        <v>210922</v>
      </c>
      <c r="AE6" s="9" t="s">
        <v>42</v>
      </c>
      <c r="AF6" s="16" t="s">
        <v>38</v>
      </c>
      <c r="AG6" s="28" t="str">
        <f t="shared" si="0"/>
        <v>Mall Of Arabia</v>
      </c>
      <c r="AH6" s="29" t="str">
        <f t="shared" si="1"/>
        <v>Dec-2025</v>
      </c>
    </row>
    <row r="7" spans="1:34" ht="15">
      <c r="A7" s="8">
        <v>46035</v>
      </c>
      <c r="B7" s="9" t="s">
        <v>43</v>
      </c>
      <c r="C7" s="9" t="s">
        <v>33</v>
      </c>
      <c r="D7" s="9" t="s">
        <v>44</v>
      </c>
      <c r="E7" s="9" t="s">
        <v>35</v>
      </c>
      <c r="F7" s="9" t="s">
        <v>35</v>
      </c>
      <c r="G7" s="9" t="s">
        <v>45</v>
      </c>
      <c r="H7" s="10" t="s">
        <v>56</v>
      </c>
      <c r="I7" s="9">
        <v>2042239007</v>
      </c>
      <c r="J7" s="11">
        <v>2112255907404</v>
      </c>
      <c r="K7" s="12">
        <v>46012.89472222222</v>
      </c>
      <c r="L7" s="10">
        <v>8640</v>
      </c>
      <c r="M7" s="10">
        <v>0</v>
      </c>
      <c r="N7" s="10">
        <v>8640</v>
      </c>
      <c r="O7" s="10">
        <v>8640</v>
      </c>
      <c r="P7" s="10">
        <v>260</v>
      </c>
      <c r="Q7" s="10">
        <v>259.2</v>
      </c>
      <c r="R7" s="10">
        <v>0</v>
      </c>
      <c r="S7" s="10">
        <v>0</v>
      </c>
      <c r="T7" s="10">
        <v>0</v>
      </c>
      <c r="U7" s="10">
        <v>8120.8</v>
      </c>
      <c r="V7" s="13">
        <v>0.03</v>
      </c>
      <c r="W7" s="13">
        <v>3.0092592592592591E-2</v>
      </c>
      <c r="X7" s="9">
        <v>6</v>
      </c>
      <c r="Y7" s="14" t="s">
        <v>38</v>
      </c>
      <c r="Z7" s="9" t="s">
        <v>47</v>
      </c>
      <c r="AA7" s="9" t="s">
        <v>57</v>
      </c>
      <c r="AB7" s="10" t="s">
        <v>41</v>
      </c>
      <c r="AC7" s="10" t="s">
        <v>38</v>
      </c>
      <c r="AD7" s="15">
        <v>210922</v>
      </c>
      <c r="AE7" s="9" t="s">
        <v>42</v>
      </c>
      <c r="AF7" s="16" t="s">
        <v>38</v>
      </c>
      <c r="AG7" s="28" t="str">
        <f t="shared" si="0"/>
        <v>City Center Alexandria</v>
      </c>
      <c r="AH7" s="29" t="str">
        <f t="shared" si="1"/>
        <v>Dec-2025</v>
      </c>
    </row>
    <row r="8" spans="1:34" ht="15">
      <c r="A8" s="8">
        <v>46035</v>
      </c>
      <c r="B8" s="9" t="s">
        <v>32</v>
      </c>
      <c r="C8" s="9" t="s">
        <v>33</v>
      </c>
      <c r="D8" s="9" t="s">
        <v>34</v>
      </c>
      <c r="E8" s="9" t="s">
        <v>35</v>
      </c>
      <c r="F8" s="9" t="s">
        <v>35</v>
      </c>
      <c r="G8" s="9" t="s">
        <v>36</v>
      </c>
      <c r="H8" s="10" t="s">
        <v>58</v>
      </c>
      <c r="I8" s="9">
        <v>2063468135</v>
      </c>
      <c r="J8" s="11">
        <v>101265940835</v>
      </c>
      <c r="K8" s="12">
        <v>46023.845000000001</v>
      </c>
      <c r="L8" s="10">
        <v>3915</v>
      </c>
      <c r="M8" s="10">
        <v>0</v>
      </c>
      <c r="N8" s="10">
        <v>3915</v>
      </c>
      <c r="O8" s="10">
        <v>3915</v>
      </c>
      <c r="P8" s="10">
        <v>118</v>
      </c>
      <c r="Q8" s="10">
        <v>117.45</v>
      </c>
      <c r="R8" s="10">
        <v>0</v>
      </c>
      <c r="S8" s="10">
        <v>0</v>
      </c>
      <c r="T8" s="10">
        <v>0</v>
      </c>
      <c r="U8" s="10">
        <v>3679.55</v>
      </c>
      <c r="V8" s="13">
        <v>3.0000000000000002E-2</v>
      </c>
      <c r="W8" s="13">
        <v>3.0140485312899108E-2</v>
      </c>
      <c r="X8" s="9">
        <v>6</v>
      </c>
      <c r="Y8" s="14" t="s">
        <v>38</v>
      </c>
      <c r="Z8" s="9" t="s">
        <v>39</v>
      </c>
      <c r="AA8" s="9" t="s">
        <v>59</v>
      </c>
      <c r="AB8" s="10" t="s">
        <v>41</v>
      </c>
      <c r="AC8" s="10" t="s">
        <v>38</v>
      </c>
      <c r="AD8" s="15">
        <v>210922</v>
      </c>
      <c r="AE8" s="9" t="s">
        <v>42</v>
      </c>
      <c r="AF8" s="16" t="s">
        <v>38</v>
      </c>
      <c r="AG8" s="28" t="str">
        <f t="shared" si="0"/>
        <v>Mall Of Arabia</v>
      </c>
      <c r="AH8" s="29" t="str">
        <f t="shared" si="1"/>
        <v>Jan-2026</v>
      </c>
    </row>
    <row r="9" spans="1:34" ht="15">
      <c r="A9" s="8">
        <v>46037</v>
      </c>
      <c r="B9" s="9" t="s">
        <v>60</v>
      </c>
      <c r="C9" s="9" t="s">
        <v>33</v>
      </c>
      <c r="D9" s="9" t="s">
        <v>61</v>
      </c>
      <c r="E9" s="9" t="s">
        <v>35</v>
      </c>
      <c r="F9" s="9" t="s">
        <v>35</v>
      </c>
      <c r="G9" s="9" t="s">
        <v>62</v>
      </c>
      <c r="H9" s="10" t="s">
        <v>63</v>
      </c>
      <c r="I9" s="9">
        <v>2091535571</v>
      </c>
      <c r="J9" s="11">
        <v>801265966618</v>
      </c>
      <c r="K9" s="12">
        <v>46030.543483796297</v>
      </c>
      <c r="L9" s="10">
        <v>8100</v>
      </c>
      <c r="M9" s="10">
        <v>0</v>
      </c>
      <c r="N9" s="10">
        <v>8100</v>
      </c>
      <c r="O9" s="10">
        <v>8100</v>
      </c>
      <c r="P9" s="10">
        <v>0</v>
      </c>
      <c r="Q9" s="10">
        <v>243</v>
      </c>
      <c r="R9" s="10">
        <v>0</v>
      </c>
      <c r="S9" s="10">
        <v>0</v>
      </c>
      <c r="T9" s="10">
        <v>0</v>
      </c>
      <c r="U9" s="10">
        <v>7857</v>
      </c>
      <c r="V9" s="13">
        <v>0.03</v>
      </c>
      <c r="W9" s="13">
        <v>0</v>
      </c>
      <c r="X9" s="9">
        <v>3</v>
      </c>
      <c r="Y9" s="14" t="s">
        <v>38</v>
      </c>
      <c r="Z9" s="9" t="s">
        <v>64</v>
      </c>
      <c r="AA9" s="9" t="s">
        <v>65</v>
      </c>
      <c r="AB9" s="10" t="s">
        <v>41</v>
      </c>
      <c r="AC9" s="10" t="s">
        <v>38</v>
      </c>
      <c r="AD9" s="15">
        <v>210915</v>
      </c>
      <c r="AE9" s="9" t="s">
        <v>66</v>
      </c>
      <c r="AF9" s="16" t="s">
        <v>38</v>
      </c>
      <c r="AG9" s="28" t="str">
        <f t="shared" si="0"/>
        <v>CFC</v>
      </c>
      <c r="AH9" s="29" t="str">
        <f t="shared" si="1"/>
        <v>Jan-2026</v>
      </c>
    </row>
    <row r="10" spans="1:34" ht="15">
      <c r="A10" s="8">
        <v>46037</v>
      </c>
      <c r="B10" s="9" t="s">
        <v>43</v>
      </c>
      <c r="C10" s="9" t="s">
        <v>33</v>
      </c>
      <c r="D10" s="9" t="s">
        <v>67</v>
      </c>
      <c r="E10" s="9" t="s">
        <v>35</v>
      </c>
      <c r="F10" s="9" t="s">
        <v>35</v>
      </c>
      <c r="G10" s="9" t="s">
        <v>45</v>
      </c>
      <c r="H10" s="10" t="s">
        <v>68</v>
      </c>
      <c r="I10" s="9">
        <v>2093915312</v>
      </c>
      <c r="J10" s="11">
        <v>1001265977166</v>
      </c>
      <c r="K10" s="12">
        <v>46032.714259259257</v>
      </c>
      <c r="L10" s="10">
        <v>1500</v>
      </c>
      <c r="M10" s="10">
        <v>0</v>
      </c>
      <c r="N10" s="10">
        <v>1500</v>
      </c>
      <c r="O10" s="10">
        <v>1500</v>
      </c>
      <c r="P10" s="10">
        <v>0</v>
      </c>
      <c r="Q10" s="10">
        <v>45</v>
      </c>
      <c r="R10" s="10">
        <v>0</v>
      </c>
      <c r="S10" s="10">
        <v>0</v>
      </c>
      <c r="T10" s="10">
        <v>0</v>
      </c>
      <c r="U10" s="10">
        <v>1455</v>
      </c>
      <c r="V10" s="13">
        <v>0.03</v>
      </c>
      <c r="W10" s="13">
        <v>0</v>
      </c>
      <c r="X10" s="9">
        <v>3</v>
      </c>
      <c r="Y10" s="14" t="s">
        <v>38</v>
      </c>
      <c r="Z10" s="9" t="s">
        <v>47</v>
      </c>
      <c r="AA10" s="9" t="s">
        <v>69</v>
      </c>
      <c r="AB10" s="10" t="s">
        <v>41</v>
      </c>
      <c r="AC10" s="10" t="s">
        <v>38</v>
      </c>
      <c r="AD10" s="15">
        <v>210915</v>
      </c>
      <c r="AE10" s="9" t="s">
        <v>66</v>
      </c>
      <c r="AF10" s="16" t="s">
        <v>38</v>
      </c>
      <c r="AG10" s="28" t="str">
        <f t="shared" si="0"/>
        <v>City Center Alexandria</v>
      </c>
      <c r="AH10" s="29" t="str">
        <f t="shared" si="1"/>
        <v>Jan-2026</v>
      </c>
    </row>
    <row r="11" spans="1:34" ht="15">
      <c r="A11" s="8">
        <v>46037</v>
      </c>
      <c r="B11" s="9" t="s">
        <v>60</v>
      </c>
      <c r="C11" s="9" t="s">
        <v>33</v>
      </c>
      <c r="D11" s="9" t="s">
        <v>61</v>
      </c>
      <c r="E11" s="9" t="s">
        <v>35</v>
      </c>
      <c r="F11" s="9" t="s">
        <v>35</v>
      </c>
      <c r="G11" s="9" t="s">
        <v>62</v>
      </c>
      <c r="H11" s="10" t="s">
        <v>70</v>
      </c>
      <c r="I11" s="9">
        <v>2086452255</v>
      </c>
      <c r="J11" s="11">
        <v>501265957165</v>
      </c>
      <c r="K11" s="12">
        <v>46027.738819444443</v>
      </c>
      <c r="L11" s="10">
        <v>3600</v>
      </c>
      <c r="M11" s="10">
        <v>0</v>
      </c>
      <c r="N11" s="10">
        <v>3600</v>
      </c>
      <c r="O11" s="10">
        <v>3600</v>
      </c>
      <c r="P11" s="10">
        <v>0</v>
      </c>
      <c r="Q11" s="10">
        <v>108</v>
      </c>
      <c r="R11" s="10">
        <v>0</v>
      </c>
      <c r="S11" s="10">
        <v>0</v>
      </c>
      <c r="T11" s="10">
        <v>0</v>
      </c>
      <c r="U11" s="10">
        <v>3492</v>
      </c>
      <c r="V11" s="13">
        <v>0.03</v>
      </c>
      <c r="W11" s="13">
        <v>0</v>
      </c>
      <c r="X11" s="9">
        <v>3</v>
      </c>
      <c r="Y11" s="14" t="s">
        <v>38</v>
      </c>
      <c r="Z11" s="9" t="s">
        <v>64</v>
      </c>
      <c r="AA11" s="9" t="s">
        <v>71</v>
      </c>
      <c r="AB11" s="10" t="s">
        <v>41</v>
      </c>
      <c r="AC11" s="10" t="s">
        <v>38</v>
      </c>
      <c r="AD11" s="15">
        <v>210915</v>
      </c>
      <c r="AE11" s="9" t="s">
        <v>66</v>
      </c>
      <c r="AF11" s="16" t="s">
        <v>38</v>
      </c>
      <c r="AG11" s="28" t="str">
        <f t="shared" si="0"/>
        <v>CFC</v>
      </c>
      <c r="AH11" s="29" t="str">
        <f t="shared" si="1"/>
        <v>Jan-2026</v>
      </c>
    </row>
    <row r="12" spans="1:34" ht="15">
      <c r="A12" s="8">
        <v>46043</v>
      </c>
      <c r="B12" s="9" t="s">
        <v>72</v>
      </c>
      <c r="C12" s="9" t="s">
        <v>33</v>
      </c>
      <c r="D12" s="9" t="s">
        <v>73</v>
      </c>
      <c r="E12" s="9" t="s">
        <v>35</v>
      </c>
      <c r="F12" s="9" t="s">
        <v>35</v>
      </c>
      <c r="G12" s="9" t="s">
        <v>74</v>
      </c>
      <c r="H12" s="10" t="s">
        <v>75</v>
      </c>
      <c r="I12" s="9">
        <v>2094955295</v>
      </c>
      <c r="J12" s="11">
        <v>1101265980845</v>
      </c>
      <c r="K12" s="12">
        <v>46033.708877314813</v>
      </c>
      <c r="L12" s="10">
        <v>14040</v>
      </c>
      <c r="M12" s="10">
        <v>0</v>
      </c>
      <c r="N12" s="10">
        <v>14040</v>
      </c>
      <c r="O12" s="10">
        <v>14040</v>
      </c>
      <c r="P12" s="10">
        <v>422</v>
      </c>
      <c r="Q12" s="10">
        <v>421.2</v>
      </c>
      <c r="R12" s="10">
        <v>0</v>
      </c>
      <c r="S12" s="10">
        <v>0</v>
      </c>
      <c r="T12" s="10">
        <v>0</v>
      </c>
      <c r="U12" s="10">
        <v>13196.8</v>
      </c>
      <c r="V12" s="13">
        <v>0.03</v>
      </c>
      <c r="W12" s="13">
        <v>3.0056980056980057E-2</v>
      </c>
      <c r="X12" s="9">
        <v>9</v>
      </c>
      <c r="Y12" s="14" t="s">
        <v>38</v>
      </c>
      <c r="Z12" s="9" t="s">
        <v>76</v>
      </c>
      <c r="AA12" s="9" t="s">
        <v>77</v>
      </c>
      <c r="AB12" s="10" t="s">
        <v>41</v>
      </c>
      <c r="AC12" s="10" t="s">
        <v>38</v>
      </c>
      <c r="AD12" s="15">
        <v>210907</v>
      </c>
      <c r="AE12" s="9" t="s">
        <v>66</v>
      </c>
      <c r="AF12" s="16" t="s">
        <v>38</v>
      </c>
      <c r="AG12" s="28" t="str">
        <f t="shared" si="0"/>
        <v>City Stars</v>
      </c>
      <c r="AH12" s="29" t="str">
        <f t="shared" si="1"/>
        <v>Jan-2026</v>
      </c>
    </row>
    <row r="13" spans="1:34" ht="15">
      <c r="A13" s="8">
        <v>46043</v>
      </c>
      <c r="B13" s="9" t="s">
        <v>78</v>
      </c>
      <c r="C13" s="9" t="s">
        <v>33</v>
      </c>
      <c r="D13" s="9" t="s">
        <v>79</v>
      </c>
      <c r="E13" s="9" t="s">
        <v>35</v>
      </c>
      <c r="F13" s="9" t="s">
        <v>35</v>
      </c>
      <c r="G13" s="9" t="s">
        <v>80</v>
      </c>
      <c r="H13" s="10" t="s">
        <v>81</v>
      </c>
      <c r="I13" s="9">
        <v>2096023062</v>
      </c>
      <c r="J13" s="11">
        <v>1201265983007</v>
      </c>
      <c r="K13" s="12">
        <v>46034.689270833333</v>
      </c>
      <c r="L13" s="10">
        <v>1900</v>
      </c>
      <c r="M13" s="10">
        <v>0</v>
      </c>
      <c r="N13" s="10">
        <v>1900</v>
      </c>
      <c r="O13" s="10">
        <v>1900</v>
      </c>
      <c r="P13" s="10">
        <v>57</v>
      </c>
      <c r="Q13" s="10">
        <v>57</v>
      </c>
      <c r="R13" s="10">
        <v>0</v>
      </c>
      <c r="S13" s="10">
        <v>0</v>
      </c>
      <c r="T13" s="10">
        <v>0</v>
      </c>
      <c r="U13" s="10">
        <v>1786</v>
      </c>
      <c r="V13" s="13">
        <v>0.03</v>
      </c>
      <c r="W13" s="13">
        <v>0.03</v>
      </c>
      <c r="X13" s="9">
        <v>9</v>
      </c>
      <c r="Y13" s="14" t="s">
        <v>38</v>
      </c>
      <c r="Z13" s="9" t="s">
        <v>82</v>
      </c>
      <c r="AA13" s="9" t="s">
        <v>83</v>
      </c>
      <c r="AB13" s="10" t="s">
        <v>41</v>
      </c>
      <c r="AC13" s="10" t="s">
        <v>38</v>
      </c>
      <c r="AD13" s="15">
        <v>210907</v>
      </c>
      <c r="AE13" s="9" t="s">
        <v>66</v>
      </c>
      <c r="AF13" s="16" t="s">
        <v>38</v>
      </c>
      <c r="AG13" s="28" t="str">
        <f t="shared" si="0"/>
        <v>City Center Almaza</v>
      </c>
      <c r="AH13" s="29" t="str">
        <f t="shared" si="1"/>
        <v>Jan-2026</v>
      </c>
    </row>
    <row r="14" spans="1:34" ht="15">
      <c r="A14" s="8">
        <v>46043</v>
      </c>
      <c r="B14" s="9" t="s">
        <v>78</v>
      </c>
      <c r="C14" s="9" t="s">
        <v>33</v>
      </c>
      <c r="D14" s="9" t="s">
        <v>79</v>
      </c>
      <c r="E14" s="9" t="s">
        <v>35</v>
      </c>
      <c r="F14" s="9" t="s">
        <v>35</v>
      </c>
      <c r="G14" s="9" t="s">
        <v>80</v>
      </c>
      <c r="H14" s="10" t="s">
        <v>84</v>
      </c>
      <c r="I14" s="9">
        <v>2097739975</v>
      </c>
      <c r="J14" s="11">
        <v>1401265986857</v>
      </c>
      <c r="K14" s="12">
        <v>46036.465555555558</v>
      </c>
      <c r="L14" s="10">
        <v>7990</v>
      </c>
      <c r="M14" s="10">
        <v>0</v>
      </c>
      <c r="N14" s="10">
        <v>7990</v>
      </c>
      <c r="O14" s="10">
        <v>7990</v>
      </c>
      <c r="P14" s="10">
        <v>240</v>
      </c>
      <c r="Q14" s="10">
        <v>239.7</v>
      </c>
      <c r="R14" s="10">
        <v>0</v>
      </c>
      <c r="S14" s="10">
        <v>0</v>
      </c>
      <c r="T14" s="10">
        <v>0</v>
      </c>
      <c r="U14" s="10">
        <v>7510.3</v>
      </c>
      <c r="V14" s="13">
        <v>0.03</v>
      </c>
      <c r="W14" s="13">
        <v>3.0037546933667083E-2</v>
      </c>
      <c r="X14" s="9">
        <v>6</v>
      </c>
      <c r="Y14" s="14" t="s">
        <v>38</v>
      </c>
      <c r="Z14" s="9" t="s">
        <v>82</v>
      </c>
      <c r="AA14" s="9" t="s">
        <v>85</v>
      </c>
      <c r="AB14" s="10" t="s">
        <v>41</v>
      </c>
      <c r="AC14" s="10" t="s">
        <v>38</v>
      </c>
      <c r="AD14" s="15">
        <v>210907</v>
      </c>
      <c r="AE14" s="9" t="s">
        <v>66</v>
      </c>
      <c r="AF14" s="16" t="s">
        <v>38</v>
      </c>
      <c r="AG14" s="28" t="str">
        <f t="shared" si="0"/>
        <v>City Center Almaza</v>
      </c>
      <c r="AH14" s="29" t="str">
        <f t="shared" si="1"/>
        <v>Jan-2026</v>
      </c>
    </row>
    <row r="15" spans="1:34" ht="15">
      <c r="A15" s="8">
        <v>46048</v>
      </c>
      <c r="B15" s="9" t="s">
        <v>43</v>
      </c>
      <c r="C15" s="9" t="s">
        <v>33</v>
      </c>
      <c r="D15" s="9" t="s">
        <v>86</v>
      </c>
      <c r="E15" s="9" t="s">
        <v>35</v>
      </c>
      <c r="F15" s="9" t="s">
        <v>35</v>
      </c>
      <c r="G15" s="9" t="s">
        <v>45</v>
      </c>
      <c r="H15" s="10" t="s">
        <v>87</v>
      </c>
      <c r="I15" s="9">
        <v>2108274051</v>
      </c>
      <c r="J15" s="11">
        <v>2201266022518</v>
      </c>
      <c r="K15" s="12">
        <v>46044.649641203701</v>
      </c>
      <c r="L15" s="10">
        <v>4850</v>
      </c>
      <c r="M15" s="10">
        <v>0</v>
      </c>
      <c r="N15" s="10">
        <v>4850</v>
      </c>
      <c r="O15" s="10">
        <v>4850</v>
      </c>
      <c r="P15" s="10">
        <v>0</v>
      </c>
      <c r="Q15" s="10">
        <v>145.5</v>
      </c>
      <c r="R15" s="10">
        <v>0</v>
      </c>
      <c r="S15" s="10">
        <v>0</v>
      </c>
      <c r="T15" s="10">
        <v>0</v>
      </c>
      <c r="U15" s="10">
        <v>4704.5</v>
      </c>
      <c r="V15" s="13">
        <v>0.03</v>
      </c>
      <c r="W15" s="13">
        <v>0</v>
      </c>
      <c r="X15" s="9">
        <v>1</v>
      </c>
      <c r="Y15" s="14" t="s">
        <v>38</v>
      </c>
      <c r="Z15" s="9" t="s">
        <v>47</v>
      </c>
      <c r="AA15" s="9" t="s">
        <v>88</v>
      </c>
      <c r="AB15" s="10" t="s">
        <v>41</v>
      </c>
      <c r="AC15" s="10" t="s">
        <v>38</v>
      </c>
      <c r="AD15" s="15">
        <v>210907</v>
      </c>
      <c r="AE15" s="9" t="s">
        <v>89</v>
      </c>
      <c r="AF15" s="16" t="s">
        <v>38</v>
      </c>
      <c r="AG15" s="28" t="str">
        <f t="shared" si="0"/>
        <v>City Center Alexandria</v>
      </c>
      <c r="AH15" s="29" t="str">
        <f t="shared" si="1"/>
        <v>Jan-2026</v>
      </c>
    </row>
    <row r="16" spans="1:34" ht="15">
      <c r="A16" s="8">
        <v>46055</v>
      </c>
      <c r="B16" s="9" t="s">
        <v>90</v>
      </c>
      <c r="C16" s="9" t="s">
        <v>33</v>
      </c>
      <c r="D16" s="9" t="s">
        <v>91</v>
      </c>
      <c r="E16" s="9" t="s">
        <v>35</v>
      </c>
      <c r="F16" s="9" t="s">
        <v>35</v>
      </c>
      <c r="G16" s="9" t="s">
        <v>92</v>
      </c>
      <c r="H16" s="10" t="s">
        <v>93</v>
      </c>
      <c r="I16" s="9">
        <v>2119626582</v>
      </c>
      <c r="J16" s="11">
        <v>3001265049108250</v>
      </c>
      <c r="K16" s="12">
        <v>46052.42465277778</v>
      </c>
      <c r="L16" s="10">
        <v>2250</v>
      </c>
      <c r="M16" s="10">
        <v>0</v>
      </c>
      <c r="N16" s="10">
        <v>2250</v>
      </c>
      <c r="O16" s="10">
        <v>2250</v>
      </c>
      <c r="P16" s="10">
        <v>0</v>
      </c>
      <c r="Q16" s="10">
        <v>67.5</v>
      </c>
      <c r="R16" s="10">
        <v>0</v>
      </c>
      <c r="S16" s="10">
        <v>0</v>
      </c>
      <c r="T16" s="10">
        <v>0</v>
      </c>
      <c r="U16" s="10">
        <v>2182.5</v>
      </c>
      <c r="V16" s="13">
        <v>0.03</v>
      </c>
      <c r="W16" s="13">
        <v>0</v>
      </c>
      <c r="X16" s="9">
        <v>6</v>
      </c>
      <c r="Y16" s="14" t="s">
        <v>38</v>
      </c>
      <c r="Z16" s="9" t="s">
        <v>94</v>
      </c>
      <c r="AA16" s="9" t="s">
        <v>95</v>
      </c>
      <c r="AB16" s="10" t="s">
        <v>41</v>
      </c>
      <c r="AC16" s="10" t="s">
        <v>38</v>
      </c>
      <c r="AD16" s="15">
        <v>210907</v>
      </c>
      <c r="AE16" s="9" t="s">
        <v>89</v>
      </c>
      <c r="AF16" s="16" t="s">
        <v>38</v>
      </c>
      <c r="AG16" s="28" t="str">
        <f t="shared" si="0"/>
        <v>Ecommerce</v>
      </c>
      <c r="AH16" s="29" t="str">
        <f t="shared" si="1"/>
        <v>Jan-2026</v>
      </c>
    </row>
    <row r="17" spans="1:34" ht="15">
      <c r="A17" s="8">
        <v>46055</v>
      </c>
      <c r="B17" s="9" t="s">
        <v>43</v>
      </c>
      <c r="C17" s="9" t="s">
        <v>33</v>
      </c>
      <c r="D17" s="9" t="s">
        <v>96</v>
      </c>
      <c r="E17" s="9" t="s">
        <v>35</v>
      </c>
      <c r="F17" s="9" t="s">
        <v>35</v>
      </c>
      <c r="G17" s="9" t="s">
        <v>45</v>
      </c>
      <c r="H17" s="10" t="s">
        <v>97</v>
      </c>
      <c r="I17" s="9">
        <v>2112466425</v>
      </c>
      <c r="J17" s="11">
        <v>2501266036321</v>
      </c>
      <c r="K17" s="12">
        <v>46047.890543981484</v>
      </c>
      <c r="L17" s="10">
        <v>2290</v>
      </c>
      <c r="M17" s="10">
        <v>0</v>
      </c>
      <c r="N17" s="10">
        <v>2290</v>
      </c>
      <c r="O17" s="10">
        <v>2290</v>
      </c>
      <c r="P17" s="10">
        <v>0</v>
      </c>
      <c r="Q17" s="10">
        <v>68.7</v>
      </c>
      <c r="R17" s="10">
        <v>0</v>
      </c>
      <c r="S17" s="10">
        <v>0</v>
      </c>
      <c r="T17" s="10">
        <v>0</v>
      </c>
      <c r="U17" s="10">
        <v>2221.3000000000002</v>
      </c>
      <c r="V17" s="13">
        <v>3.0000000000000002E-2</v>
      </c>
      <c r="W17" s="13">
        <v>0</v>
      </c>
      <c r="X17" s="9">
        <v>6</v>
      </c>
      <c r="Y17" s="14" t="s">
        <v>38</v>
      </c>
      <c r="Z17" s="9" t="s">
        <v>47</v>
      </c>
      <c r="AA17" s="9" t="s">
        <v>98</v>
      </c>
      <c r="AB17" s="10" t="s">
        <v>41</v>
      </c>
      <c r="AC17" s="10" t="s">
        <v>38</v>
      </c>
      <c r="AD17" s="15">
        <v>210907</v>
      </c>
      <c r="AE17" s="9" t="s">
        <v>89</v>
      </c>
      <c r="AF17" s="16" t="s">
        <v>38</v>
      </c>
      <c r="AG17" s="28" t="str">
        <f t="shared" si="0"/>
        <v>City Center Alexandria</v>
      </c>
      <c r="AH17" s="29" t="str">
        <f t="shared" si="1"/>
        <v>Jan-2026</v>
      </c>
    </row>
    <row r="18" spans="1:34" ht="15">
      <c r="A18" s="8">
        <v>46055</v>
      </c>
      <c r="B18" s="9" t="s">
        <v>78</v>
      </c>
      <c r="C18" s="9" t="s">
        <v>33</v>
      </c>
      <c r="D18" s="9" t="s">
        <v>99</v>
      </c>
      <c r="E18" s="9" t="s">
        <v>35</v>
      </c>
      <c r="F18" s="9" t="s">
        <v>35</v>
      </c>
      <c r="G18" s="9" t="s">
        <v>80</v>
      </c>
      <c r="H18" s="10" t="s">
        <v>100</v>
      </c>
      <c r="I18" s="9">
        <v>2117732202</v>
      </c>
      <c r="J18" s="11">
        <v>2801266046927</v>
      </c>
      <c r="K18" s="12">
        <v>46050.92324074074</v>
      </c>
      <c r="L18" s="10">
        <v>12865</v>
      </c>
      <c r="M18" s="10">
        <v>0</v>
      </c>
      <c r="N18" s="10">
        <v>12865</v>
      </c>
      <c r="O18" s="10">
        <v>12865</v>
      </c>
      <c r="P18" s="10">
        <v>0</v>
      </c>
      <c r="Q18" s="10">
        <v>385.95</v>
      </c>
      <c r="R18" s="10">
        <v>0</v>
      </c>
      <c r="S18" s="10">
        <v>0</v>
      </c>
      <c r="T18" s="10">
        <v>0</v>
      </c>
      <c r="U18" s="10">
        <v>12479.05</v>
      </c>
      <c r="V18" s="13">
        <v>0.03</v>
      </c>
      <c r="W18" s="13">
        <v>0</v>
      </c>
      <c r="X18" s="9">
        <v>6</v>
      </c>
      <c r="Y18" s="14" t="s">
        <v>38</v>
      </c>
      <c r="Z18" s="9" t="s">
        <v>82</v>
      </c>
      <c r="AA18" s="9" t="s">
        <v>101</v>
      </c>
      <c r="AB18" s="10" t="s">
        <v>41</v>
      </c>
      <c r="AC18" s="10" t="s">
        <v>38</v>
      </c>
      <c r="AD18" s="15">
        <v>210907</v>
      </c>
      <c r="AE18" s="9" t="s">
        <v>89</v>
      </c>
      <c r="AF18" s="16" t="s">
        <v>38</v>
      </c>
      <c r="AG18" s="28" t="str">
        <f t="shared" si="0"/>
        <v>City Center Almaza</v>
      </c>
      <c r="AH18" s="29" t="str">
        <f t="shared" si="1"/>
        <v>Jan-2026</v>
      </c>
    </row>
    <row r="19" spans="1:34" ht="15">
      <c r="A19" s="8">
        <v>46055</v>
      </c>
      <c r="B19" s="9" t="s">
        <v>90</v>
      </c>
      <c r="C19" s="9" t="s">
        <v>33</v>
      </c>
      <c r="D19" s="9" t="s">
        <v>91</v>
      </c>
      <c r="E19" s="9" t="s">
        <v>35</v>
      </c>
      <c r="F19" s="9" t="s">
        <v>35</v>
      </c>
      <c r="G19" s="9" t="s">
        <v>92</v>
      </c>
      <c r="H19" s="10" t="s">
        <v>102</v>
      </c>
      <c r="I19" s="9">
        <v>2119287799</v>
      </c>
      <c r="J19" s="11">
        <v>2901265047345330</v>
      </c>
      <c r="K19" s="12">
        <v>46051.933993055558</v>
      </c>
      <c r="L19" s="10">
        <v>3980</v>
      </c>
      <c r="M19" s="10">
        <v>0</v>
      </c>
      <c r="N19" s="10">
        <v>3980</v>
      </c>
      <c r="O19" s="10">
        <v>3980</v>
      </c>
      <c r="P19" s="10">
        <v>0</v>
      </c>
      <c r="Q19" s="10">
        <v>119.4</v>
      </c>
      <c r="R19" s="10">
        <v>0</v>
      </c>
      <c r="S19" s="10">
        <v>0</v>
      </c>
      <c r="T19" s="10">
        <v>0</v>
      </c>
      <c r="U19" s="10">
        <v>3860.6</v>
      </c>
      <c r="V19" s="13">
        <v>3.0000000000000002E-2</v>
      </c>
      <c r="W19" s="13">
        <v>0</v>
      </c>
      <c r="X19" s="9">
        <v>1</v>
      </c>
      <c r="Y19" s="14" t="s">
        <v>38</v>
      </c>
      <c r="Z19" s="9" t="s">
        <v>94</v>
      </c>
      <c r="AA19" s="9" t="s">
        <v>103</v>
      </c>
      <c r="AB19" s="10" t="s">
        <v>41</v>
      </c>
      <c r="AC19" s="10" t="s">
        <v>38</v>
      </c>
      <c r="AD19" s="15">
        <v>210907</v>
      </c>
      <c r="AE19" s="9" t="s">
        <v>89</v>
      </c>
      <c r="AF19" s="16" t="s">
        <v>38</v>
      </c>
      <c r="AG19" s="28" t="str">
        <f t="shared" si="0"/>
        <v>Ecommerce</v>
      </c>
      <c r="AH19" s="29" t="str">
        <f t="shared" si="1"/>
        <v>Jan-2026</v>
      </c>
    </row>
    <row r="20" spans="1:34" ht="15">
      <c r="A20" s="8">
        <v>46055</v>
      </c>
      <c r="B20" s="9" t="s">
        <v>90</v>
      </c>
      <c r="C20" s="9" t="s">
        <v>33</v>
      </c>
      <c r="D20" s="9" t="s">
        <v>91</v>
      </c>
      <c r="E20" s="9" t="s">
        <v>35</v>
      </c>
      <c r="F20" s="9" t="s">
        <v>35</v>
      </c>
      <c r="G20" s="9" t="s">
        <v>92</v>
      </c>
      <c r="H20" s="10" t="s">
        <v>104</v>
      </c>
      <c r="I20" s="9">
        <v>2113782110</v>
      </c>
      <c r="J20" s="11">
        <v>2601265026152840</v>
      </c>
      <c r="K20" s="12">
        <v>46048.80804398148</v>
      </c>
      <c r="L20" s="10">
        <v>3950</v>
      </c>
      <c r="M20" s="10">
        <v>0</v>
      </c>
      <c r="N20" s="10">
        <v>3950</v>
      </c>
      <c r="O20" s="10">
        <v>3950</v>
      </c>
      <c r="P20" s="10">
        <v>0</v>
      </c>
      <c r="Q20" s="10">
        <v>118.5</v>
      </c>
      <c r="R20" s="10">
        <v>0</v>
      </c>
      <c r="S20" s="10">
        <v>0</v>
      </c>
      <c r="T20" s="10">
        <v>0</v>
      </c>
      <c r="U20" s="10">
        <v>3831.5</v>
      </c>
      <c r="V20" s="13">
        <v>0.03</v>
      </c>
      <c r="W20" s="13">
        <v>0</v>
      </c>
      <c r="X20" s="9">
        <v>3</v>
      </c>
      <c r="Y20" s="14" t="s">
        <v>38</v>
      </c>
      <c r="Z20" s="9" t="s">
        <v>94</v>
      </c>
      <c r="AA20" s="9" t="s">
        <v>105</v>
      </c>
      <c r="AB20" s="10" t="s">
        <v>41</v>
      </c>
      <c r="AC20" s="10" t="s">
        <v>38</v>
      </c>
      <c r="AD20" s="15">
        <v>210907</v>
      </c>
      <c r="AE20" s="9" t="s">
        <v>89</v>
      </c>
      <c r="AF20" s="16" t="s">
        <v>38</v>
      </c>
      <c r="AG20" s="28" t="str">
        <f t="shared" si="0"/>
        <v>Ecommerce</v>
      </c>
      <c r="AH20" s="29" t="str">
        <f t="shared" si="1"/>
        <v>Jan-2026</v>
      </c>
    </row>
    <row r="21" spans="1:34" ht="15">
      <c r="A21" s="8">
        <v>46055</v>
      </c>
      <c r="B21" s="9" t="s">
        <v>90</v>
      </c>
      <c r="C21" s="9" t="s">
        <v>33</v>
      </c>
      <c r="D21" s="9" t="s">
        <v>91</v>
      </c>
      <c r="E21" s="9" t="s">
        <v>35</v>
      </c>
      <c r="F21" s="9" t="s">
        <v>35</v>
      </c>
      <c r="G21" s="9" t="s">
        <v>92</v>
      </c>
      <c r="H21" s="10" t="s">
        <v>106</v>
      </c>
      <c r="I21" s="9">
        <v>2117420069</v>
      </c>
      <c r="J21" s="11">
        <v>2801265039703070</v>
      </c>
      <c r="K21" s="12">
        <v>46050.817465277774</v>
      </c>
      <c r="L21" s="10">
        <v>3950</v>
      </c>
      <c r="M21" s="10">
        <v>0</v>
      </c>
      <c r="N21" s="10">
        <v>3950</v>
      </c>
      <c r="O21" s="10">
        <v>3950</v>
      </c>
      <c r="P21" s="10">
        <v>0</v>
      </c>
      <c r="Q21" s="10">
        <v>118.5</v>
      </c>
      <c r="R21" s="10">
        <v>0</v>
      </c>
      <c r="S21" s="10">
        <v>0</v>
      </c>
      <c r="T21" s="10">
        <v>0</v>
      </c>
      <c r="U21" s="10">
        <v>3831.5</v>
      </c>
      <c r="V21" s="13">
        <v>0.03</v>
      </c>
      <c r="W21" s="13">
        <v>0</v>
      </c>
      <c r="X21" s="9">
        <v>12</v>
      </c>
      <c r="Y21" s="14" t="s">
        <v>38</v>
      </c>
      <c r="Z21" s="9" t="s">
        <v>94</v>
      </c>
      <c r="AA21" s="9" t="s">
        <v>107</v>
      </c>
      <c r="AB21" s="10" t="s">
        <v>41</v>
      </c>
      <c r="AC21" s="10" t="s">
        <v>38</v>
      </c>
      <c r="AD21" s="15">
        <v>210907</v>
      </c>
      <c r="AE21" s="9" t="s">
        <v>89</v>
      </c>
      <c r="AF21" s="16" t="s">
        <v>38</v>
      </c>
      <c r="AG21" s="28" t="str">
        <f t="shared" si="0"/>
        <v>Ecommerce</v>
      </c>
      <c r="AH21" s="29" t="str">
        <f t="shared" si="1"/>
        <v>Jan-2026</v>
      </c>
    </row>
    <row r="22" spans="1:34" ht="15">
      <c r="A22" s="8">
        <v>46055</v>
      </c>
      <c r="B22" s="9" t="s">
        <v>90</v>
      </c>
      <c r="C22" s="9" t="s">
        <v>33</v>
      </c>
      <c r="D22" s="9" t="s">
        <v>91</v>
      </c>
      <c r="E22" s="9" t="s">
        <v>35</v>
      </c>
      <c r="F22" s="9" t="s">
        <v>35</v>
      </c>
      <c r="G22" s="9" t="s">
        <v>92</v>
      </c>
      <c r="H22" s="10" t="s">
        <v>108</v>
      </c>
      <c r="I22" s="9">
        <v>2119182440</v>
      </c>
      <c r="J22" s="11">
        <v>2901265046868650</v>
      </c>
      <c r="K22" s="12">
        <v>46051.880613425928</v>
      </c>
      <c r="L22" s="10">
        <v>4450</v>
      </c>
      <c r="M22" s="10">
        <v>0</v>
      </c>
      <c r="N22" s="10">
        <v>4450</v>
      </c>
      <c r="O22" s="10">
        <v>4450</v>
      </c>
      <c r="P22" s="10">
        <v>0</v>
      </c>
      <c r="Q22" s="10">
        <v>133.5</v>
      </c>
      <c r="R22" s="10">
        <v>0</v>
      </c>
      <c r="S22" s="10">
        <v>0</v>
      </c>
      <c r="T22" s="10">
        <v>0</v>
      </c>
      <c r="U22" s="10">
        <v>4316.5</v>
      </c>
      <c r="V22" s="13">
        <v>0.03</v>
      </c>
      <c r="W22" s="13">
        <v>0</v>
      </c>
      <c r="X22" s="9">
        <v>1</v>
      </c>
      <c r="Y22" s="14" t="s">
        <v>38</v>
      </c>
      <c r="Z22" s="9" t="s">
        <v>94</v>
      </c>
      <c r="AA22" s="9" t="s">
        <v>109</v>
      </c>
      <c r="AB22" s="10" t="s">
        <v>41</v>
      </c>
      <c r="AC22" s="10" t="s">
        <v>38</v>
      </c>
      <c r="AD22" s="15">
        <v>210907</v>
      </c>
      <c r="AE22" s="9" t="s">
        <v>89</v>
      </c>
      <c r="AF22" s="16" t="s">
        <v>38</v>
      </c>
      <c r="AG22" s="28" t="str">
        <f t="shared" si="0"/>
        <v>Ecommerce</v>
      </c>
      <c r="AH22" s="29" t="str">
        <f t="shared" si="1"/>
        <v>Jan-2026</v>
      </c>
    </row>
    <row r="23" spans="1:34" ht="15">
      <c r="A23" s="8">
        <v>46055</v>
      </c>
      <c r="B23" s="9" t="s">
        <v>90</v>
      </c>
      <c r="C23" s="9" t="s">
        <v>33</v>
      </c>
      <c r="D23" s="9" t="s">
        <v>91</v>
      </c>
      <c r="E23" s="9" t="s">
        <v>35</v>
      </c>
      <c r="F23" s="9" t="s">
        <v>35</v>
      </c>
      <c r="G23" s="9" t="s">
        <v>92</v>
      </c>
      <c r="H23" s="10" t="s">
        <v>110</v>
      </c>
      <c r="I23" s="9">
        <v>2120810855</v>
      </c>
      <c r="J23" s="11">
        <v>3101265055151530</v>
      </c>
      <c r="K23" s="12">
        <v>46053.111712962964</v>
      </c>
      <c r="L23" s="10">
        <v>5400</v>
      </c>
      <c r="M23" s="10">
        <v>0</v>
      </c>
      <c r="N23" s="10">
        <v>5400</v>
      </c>
      <c r="O23" s="10">
        <v>5400</v>
      </c>
      <c r="P23" s="10">
        <v>0</v>
      </c>
      <c r="Q23" s="10">
        <v>162</v>
      </c>
      <c r="R23" s="10">
        <v>0</v>
      </c>
      <c r="S23" s="10">
        <v>0</v>
      </c>
      <c r="T23" s="10">
        <v>0</v>
      </c>
      <c r="U23" s="10">
        <v>5238</v>
      </c>
      <c r="V23" s="13">
        <v>0.03</v>
      </c>
      <c r="W23" s="13">
        <v>0</v>
      </c>
      <c r="X23" s="9">
        <v>3</v>
      </c>
      <c r="Y23" s="14" t="s">
        <v>38</v>
      </c>
      <c r="Z23" s="9" t="s">
        <v>94</v>
      </c>
      <c r="AA23" s="9" t="s">
        <v>111</v>
      </c>
      <c r="AB23" s="10" t="s">
        <v>41</v>
      </c>
      <c r="AC23" s="10" t="s">
        <v>38</v>
      </c>
      <c r="AD23" s="15">
        <v>210907</v>
      </c>
      <c r="AE23" s="9" t="s">
        <v>89</v>
      </c>
      <c r="AF23" s="16" t="s">
        <v>38</v>
      </c>
      <c r="AG23" s="28" t="str">
        <f t="shared" si="0"/>
        <v>Ecommerce</v>
      </c>
      <c r="AH23" s="29" t="str">
        <f t="shared" si="1"/>
        <v>Jan-2026</v>
      </c>
    </row>
    <row r="24" spans="1:34" ht="15">
      <c r="A24" s="8">
        <v>46055</v>
      </c>
      <c r="B24" s="9" t="s">
        <v>90</v>
      </c>
      <c r="C24" s="9" t="s">
        <v>33</v>
      </c>
      <c r="D24" s="9" t="s">
        <v>91</v>
      </c>
      <c r="E24" s="9" t="s">
        <v>35</v>
      </c>
      <c r="F24" s="9" t="s">
        <v>35</v>
      </c>
      <c r="G24" s="9" t="s">
        <v>92</v>
      </c>
      <c r="H24" s="10" t="s">
        <v>112</v>
      </c>
      <c r="I24" s="9">
        <v>2122274105</v>
      </c>
      <c r="J24" s="11">
        <v>3101265061638060</v>
      </c>
      <c r="K24" s="12">
        <v>46053.999224537038</v>
      </c>
      <c r="L24" s="10">
        <v>6450</v>
      </c>
      <c r="M24" s="10">
        <v>0</v>
      </c>
      <c r="N24" s="10">
        <v>6450</v>
      </c>
      <c r="O24" s="10">
        <v>6450</v>
      </c>
      <c r="P24" s="10">
        <v>0</v>
      </c>
      <c r="Q24" s="10">
        <v>193.5</v>
      </c>
      <c r="R24" s="10">
        <v>0</v>
      </c>
      <c r="S24" s="10">
        <v>0</v>
      </c>
      <c r="T24" s="10">
        <v>0</v>
      </c>
      <c r="U24" s="10">
        <v>6256.5</v>
      </c>
      <c r="V24" s="13">
        <v>0.03</v>
      </c>
      <c r="W24" s="13">
        <v>0</v>
      </c>
      <c r="X24" s="9">
        <v>9</v>
      </c>
      <c r="Y24" s="14" t="s">
        <v>38</v>
      </c>
      <c r="Z24" s="9" t="s">
        <v>94</v>
      </c>
      <c r="AA24" s="9" t="s">
        <v>113</v>
      </c>
      <c r="AB24" s="10" t="s">
        <v>41</v>
      </c>
      <c r="AC24" s="10" t="s">
        <v>38</v>
      </c>
      <c r="AD24" s="15">
        <v>210907</v>
      </c>
      <c r="AE24" s="9" t="s">
        <v>89</v>
      </c>
      <c r="AF24" s="16" t="s">
        <v>38</v>
      </c>
      <c r="AG24" s="28" t="str">
        <f t="shared" si="0"/>
        <v>Ecommerce</v>
      </c>
      <c r="AH24" s="29" t="str">
        <f t="shared" si="1"/>
        <v>Jan-2026</v>
      </c>
    </row>
    <row r="25" spans="1:34" ht="15">
      <c r="A25" s="8">
        <v>46063</v>
      </c>
      <c r="B25" s="9" t="s">
        <v>90</v>
      </c>
      <c r="C25" s="9" t="s">
        <v>33</v>
      </c>
      <c r="D25" s="9" t="s">
        <v>114</v>
      </c>
      <c r="E25" s="9" t="s">
        <v>35</v>
      </c>
      <c r="F25" s="9" t="s">
        <v>35</v>
      </c>
      <c r="G25" s="9" t="s">
        <v>92</v>
      </c>
      <c r="H25" s="10" t="s">
        <v>115</v>
      </c>
      <c r="I25" s="9">
        <v>-2133207381</v>
      </c>
      <c r="J25" s="11">
        <v>702265124234956</v>
      </c>
      <c r="K25" s="12">
        <v>46060.871793981481</v>
      </c>
      <c r="L25" s="10">
        <v>4785</v>
      </c>
      <c r="M25" s="10">
        <v>0</v>
      </c>
      <c r="N25" s="10">
        <v>4785</v>
      </c>
      <c r="O25" s="10">
        <v>4785</v>
      </c>
      <c r="P25" s="10">
        <v>0</v>
      </c>
      <c r="Q25" s="10">
        <v>143.55000000000001</v>
      </c>
      <c r="R25" s="10">
        <v>0</v>
      </c>
      <c r="S25" s="10">
        <v>0</v>
      </c>
      <c r="T25" s="10">
        <v>0</v>
      </c>
      <c r="U25" s="10">
        <v>4641.45</v>
      </c>
      <c r="V25" s="13">
        <v>3.0000000000000002E-2</v>
      </c>
      <c r="W25" s="13">
        <v>0</v>
      </c>
      <c r="X25" s="9">
        <v>24</v>
      </c>
      <c r="Y25" s="14" t="s">
        <v>38</v>
      </c>
      <c r="Z25" s="9" t="s">
        <v>94</v>
      </c>
      <c r="AA25" s="9" t="s">
        <v>116</v>
      </c>
      <c r="AB25" s="10" t="s">
        <v>41</v>
      </c>
      <c r="AC25" s="10" t="s">
        <v>38</v>
      </c>
      <c r="AD25" s="15">
        <v>210907</v>
      </c>
      <c r="AE25" s="9" t="s">
        <v>66</v>
      </c>
      <c r="AF25" s="16" t="s">
        <v>38</v>
      </c>
      <c r="AG25" s="28" t="str">
        <f t="shared" si="0"/>
        <v>Ecommerce</v>
      </c>
      <c r="AH25" s="29" t="str">
        <f t="shared" si="1"/>
        <v>Feb-2026</v>
      </c>
    </row>
    <row r="26" spans="1:34" ht="15">
      <c r="A26" s="8">
        <v>46063</v>
      </c>
      <c r="B26" s="9" t="s">
        <v>90</v>
      </c>
      <c r="C26" s="9" t="s">
        <v>33</v>
      </c>
      <c r="D26" s="9" t="s">
        <v>114</v>
      </c>
      <c r="E26" s="9" t="s">
        <v>35</v>
      </c>
      <c r="F26" s="9" t="s">
        <v>35</v>
      </c>
      <c r="G26" s="9" t="s">
        <v>92</v>
      </c>
      <c r="H26" s="10" t="s">
        <v>117</v>
      </c>
      <c r="I26" s="9">
        <v>2144762235</v>
      </c>
      <c r="J26" s="11">
        <v>202265079395529</v>
      </c>
      <c r="K26" s="12">
        <v>46055.997453703705</v>
      </c>
      <c r="L26" s="10">
        <v>2650</v>
      </c>
      <c r="M26" s="10">
        <v>0</v>
      </c>
      <c r="N26" s="10">
        <v>2650</v>
      </c>
      <c r="O26" s="10">
        <v>2650</v>
      </c>
      <c r="P26" s="10">
        <v>0</v>
      </c>
      <c r="Q26" s="10">
        <v>79.5</v>
      </c>
      <c r="R26" s="10">
        <v>0</v>
      </c>
      <c r="S26" s="10">
        <v>0</v>
      </c>
      <c r="T26" s="10">
        <v>0</v>
      </c>
      <c r="U26" s="10">
        <v>2570.5</v>
      </c>
      <c r="V26" s="13">
        <v>0.03</v>
      </c>
      <c r="W26" s="13">
        <v>0</v>
      </c>
      <c r="X26" s="9">
        <v>3</v>
      </c>
      <c r="Y26" s="14" t="s">
        <v>38</v>
      </c>
      <c r="Z26" s="9" t="s">
        <v>94</v>
      </c>
      <c r="AA26" s="9" t="s">
        <v>118</v>
      </c>
      <c r="AB26" s="10" t="s">
        <v>41</v>
      </c>
      <c r="AC26" s="10" t="s">
        <v>38</v>
      </c>
      <c r="AD26" s="15">
        <v>210907</v>
      </c>
      <c r="AE26" s="9" t="s">
        <v>66</v>
      </c>
      <c r="AF26" s="16" t="s">
        <v>38</v>
      </c>
      <c r="AG26" s="28" t="str">
        <f t="shared" si="0"/>
        <v>Ecommerce</v>
      </c>
      <c r="AH26" s="29" t="str">
        <f t="shared" si="1"/>
        <v>Feb-2026</v>
      </c>
    </row>
    <row r="27" spans="1:34" ht="15">
      <c r="A27" s="8">
        <v>46063</v>
      </c>
      <c r="B27" s="9" t="s">
        <v>90</v>
      </c>
      <c r="C27" s="9" t="s">
        <v>33</v>
      </c>
      <c r="D27" s="9" t="s">
        <v>114</v>
      </c>
      <c r="E27" s="9" t="s">
        <v>35</v>
      </c>
      <c r="F27" s="9" t="s">
        <v>35</v>
      </c>
      <c r="G27" s="9" t="s">
        <v>92</v>
      </c>
      <c r="H27" s="10" t="s">
        <v>119</v>
      </c>
      <c r="I27" s="9">
        <v>-2133542619</v>
      </c>
      <c r="J27" s="11">
        <v>702265121557746</v>
      </c>
      <c r="K27" s="12">
        <v>46060.694803240738</v>
      </c>
      <c r="L27" s="10">
        <v>2375</v>
      </c>
      <c r="M27" s="10">
        <v>0</v>
      </c>
      <c r="N27" s="10">
        <v>2375</v>
      </c>
      <c r="O27" s="10">
        <v>2375</v>
      </c>
      <c r="P27" s="10">
        <v>0</v>
      </c>
      <c r="Q27" s="10">
        <v>71.25</v>
      </c>
      <c r="R27" s="10">
        <v>0</v>
      </c>
      <c r="S27" s="10">
        <v>0</v>
      </c>
      <c r="T27" s="10">
        <v>0</v>
      </c>
      <c r="U27" s="10">
        <v>2303.75</v>
      </c>
      <c r="V27" s="13">
        <v>0.03</v>
      </c>
      <c r="W27" s="13">
        <v>0</v>
      </c>
      <c r="X27" s="9">
        <v>1</v>
      </c>
      <c r="Y27" s="14" t="s">
        <v>38</v>
      </c>
      <c r="Z27" s="9" t="s">
        <v>94</v>
      </c>
      <c r="AA27" s="9" t="s">
        <v>120</v>
      </c>
      <c r="AB27" s="10" t="s">
        <v>41</v>
      </c>
      <c r="AC27" s="10" t="s">
        <v>38</v>
      </c>
      <c r="AD27" s="15">
        <v>210907</v>
      </c>
      <c r="AE27" s="9" t="s">
        <v>66</v>
      </c>
      <c r="AF27" s="16" t="s">
        <v>38</v>
      </c>
      <c r="AG27" s="28" t="str">
        <f t="shared" si="0"/>
        <v>Ecommerce</v>
      </c>
      <c r="AH27" s="29" t="str">
        <f t="shared" si="1"/>
        <v>Feb-2026</v>
      </c>
    </row>
    <row r="28" spans="1:34" ht="15">
      <c r="A28" s="8">
        <v>46063</v>
      </c>
      <c r="B28" s="9" t="s">
        <v>32</v>
      </c>
      <c r="C28" s="9" t="s">
        <v>33</v>
      </c>
      <c r="D28" s="9" t="s">
        <v>121</v>
      </c>
      <c r="E28" s="9" t="s">
        <v>35</v>
      </c>
      <c r="F28" s="9" t="s">
        <v>35</v>
      </c>
      <c r="G28" s="9" t="s">
        <v>36</v>
      </c>
      <c r="H28" s="10" t="s">
        <v>122</v>
      </c>
      <c r="I28" s="9">
        <v>-2141767637</v>
      </c>
      <c r="J28" s="11">
        <v>402266072835</v>
      </c>
      <c r="K28" s="12">
        <v>46057.855104166665</v>
      </c>
      <c r="L28" s="10">
        <v>4765</v>
      </c>
      <c r="M28" s="10">
        <v>0</v>
      </c>
      <c r="N28" s="10">
        <v>4765</v>
      </c>
      <c r="O28" s="10">
        <v>4765</v>
      </c>
      <c r="P28" s="10">
        <v>143</v>
      </c>
      <c r="Q28" s="10">
        <v>142.94999999999999</v>
      </c>
      <c r="R28" s="10">
        <v>0</v>
      </c>
      <c r="S28" s="10">
        <v>0</v>
      </c>
      <c r="T28" s="10">
        <v>0</v>
      </c>
      <c r="U28" s="10">
        <v>4479.05</v>
      </c>
      <c r="V28" s="13">
        <v>0.03</v>
      </c>
      <c r="W28" s="13">
        <v>3.0010493179433367E-2</v>
      </c>
      <c r="X28" s="9">
        <v>9</v>
      </c>
      <c r="Y28" s="14" t="s">
        <v>38</v>
      </c>
      <c r="Z28" s="9" t="s">
        <v>39</v>
      </c>
      <c r="AA28" s="9" t="s">
        <v>123</v>
      </c>
      <c r="AB28" s="10" t="s">
        <v>41</v>
      </c>
      <c r="AC28" s="10" t="s">
        <v>38</v>
      </c>
      <c r="AD28" s="15">
        <v>210907</v>
      </c>
      <c r="AE28" s="9" t="s">
        <v>66</v>
      </c>
      <c r="AF28" s="16" t="s">
        <v>38</v>
      </c>
      <c r="AG28" s="28" t="str">
        <f t="shared" si="0"/>
        <v>Mall Of Arabia</v>
      </c>
      <c r="AH28" s="29" t="str">
        <f t="shared" si="1"/>
        <v>Feb-2026</v>
      </c>
    </row>
    <row r="29" spans="1:34" ht="15">
      <c r="A29" s="8">
        <v>46063</v>
      </c>
      <c r="B29" s="9" t="s">
        <v>90</v>
      </c>
      <c r="C29" s="9" t="s">
        <v>33</v>
      </c>
      <c r="D29" s="9" t="s">
        <v>114</v>
      </c>
      <c r="E29" s="9" t="s">
        <v>35</v>
      </c>
      <c r="F29" s="9" t="s">
        <v>35</v>
      </c>
      <c r="G29" s="9" t="s">
        <v>92</v>
      </c>
      <c r="H29" s="10" t="s">
        <v>124</v>
      </c>
      <c r="I29" s="9">
        <v>2145962464</v>
      </c>
      <c r="J29" s="11">
        <v>302265080026514</v>
      </c>
      <c r="K29" s="12">
        <v>46056.085810185185</v>
      </c>
      <c r="L29" s="10">
        <v>49340</v>
      </c>
      <c r="M29" s="10">
        <v>0</v>
      </c>
      <c r="N29" s="10">
        <v>49340</v>
      </c>
      <c r="O29" s="10">
        <v>49340</v>
      </c>
      <c r="P29" s="10">
        <v>0</v>
      </c>
      <c r="Q29" s="10">
        <v>1480.2</v>
      </c>
      <c r="R29" s="10">
        <v>0</v>
      </c>
      <c r="S29" s="10">
        <v>0</v>
      </c>
      <c r="T29" s="10">
        <v>0</v>
      </c>
      <c r="U29" s="10">
        <v>47859.8</v>
      </c>
      <c r="V29" s="13">
        <v>3.0000000000000002E-2</v>
      </c>
      <c r="W29" s="13">
        <v>0</v>
      </c>
      <c r="X29" s="9">
        <v>12</v>
      </c>
      <c r="Y29" s="14" t="s">
        <v>38</v>
      </c>
      <c r="Z29" s="9" t="s">
        <v>94</v>
      </c>
      <c r="AA29" s="9" t="s">
        <v>125</v>
      </c>
      <c r="AB29" s="10" t="s">
        <v>41</v>
      </c>
      <c r="AC29" s="10" t="s">
        <v>38</v>
      </c>
      <c r="AD29" s="15">
        <v>210907</v>
      </c>
      <c r="AE29" s="9" t="s">
        <v>66</v>
      </c>
      <c r="AF29" s="16" t="s">
        <v>38</v>
      </c>
      <c r="AG29" s="28" t="str">
        <f t="shared" si="0"/>
        <v>Ecommerce</v>
      </c>
      <c r="AH29" s="29" t="str">
        <f t="shared" si="1"/>
        <v>Feb-2026</v>
      </c>
    </row>
    <row r="30" spans="1:34" ht="15">
      <c r="A30" s="8">
        <v>46070</v>
      </c>
      <c r="B30" s="9" t="s">
        <v>90</v>
      </c>
      <c r="C30" s="9" t="s">
        <v>33</v>
      </c>
      <c r="D30" s="9" t="s">
        <v>126</v>
      </c>
      <c r="E30" s="9" t="s">
        <v>35</v>
      </c>
      <c r="F30" s="9" t="s">
        <v>35</v>
      </c>
      <c r="G30" s="9" t="s">
        <v>92</v>
      </c>
      <c r="H30" s="10" t="s">
        <v>127</v>
      </c>
      <c r="I30" s="9">
        <v>-2131297654</v>
      </c>
      <c r="J30" s="11">
        <v>802265134367829</v>
      </c>
      <c r="K30" s="12">
        <v>46061.996076388888</v>
      </c>
      <c r="L30" s="10">
        <v>3850</v>
      </c>
      <c r="M30" s="10">
        <v>0</v>
      </c>
      <c r="N30" s="10">
        <v>3850</v>
      </c>
      <c r="O30" s="10">
        <v>3850</v>
      </c>
      <c r="P30" s="10">
        <v>0</v>
      </c>
      <c r="Q30" s="10">
        <v>115.5</v>
      </c>
      <c r="R30" s="10">
        <v>0</v>
      </c>
      <c r="S30" s="10">
        <v>0</v>
      </c>
      <c r="T30" s="10">
        <v>0</v>
      </c>
      <c r="U30" s="10">
        <v>3734.5</v>
      </c>
      <c r="V30" s="13">
        <v>0.03</v>
      </c>
      <c r="W30" s="13">
        <v>0</v>
      </c>
      <c r="X30" s="9">
        <v>3</v>
      </c>
      <c r="Y30" s="14" t="s">
        <v>38</v>
      </c>
      <c r="Z30" s="9" t="s">
        <v>94</v>
      </c>
      <c r="AA30" s="9" t="s">
        <v>128</v>
      </c>
      <c r="AB30" s="10" t="s">
        <v>41</v>
      </c>
      <c r="AC30" s="15" t="s">
        <v>129</v>
      </c>
      <c r="AD30" s="15">
        <v>110900</v>
      </c>
      <c r="AE30" s="9" t="s">
        <v>42</v>
      </c>
      <c r="AF30" s="16" t="s">
        <v>38</v>
      </c>
      <c r="AG30" s="28" t="str">
        <f t="shared" si="0"/>
        <v>Ecommerce</v>
      </c>
      <c r="AH30" s="29" t="str">
        <f t="shared" si="1"/>
        <v>Feb-2026</v>
      </c>
    </row>
    <row r="31" spans="1:34" ht="15">
      <c r="A31" s="8">
        <v>46070</v>
      </c>
      <c r="B31" s="9" t="s">
        <v>32</v>
      </c>
      <c r="C31" s="9" t="s">
        <v>33</v>
      </c>
      <c r="D31" s="9" t="s">
        <v>130</v>
      </c>
      <c r="E31" s="9" t="s">
        <v>35</v>
      </c>
      <c r="F31" s="9" t="s">
        <v>35</v>
      </c>
      <c r="G31" s="9" t="s">
        <v>36</v>
      </c>
      <c r="H31" s="10" t="s">
        <v>131</v>
      </c>
      <c r="I31" s="9">
        <v>-2122162013</v>
      </c>
      <c r="J31" s="11">
        <v>1402266111273</v>
      </c>
      <c r="K31" s="12">
        <v>46067.832881944443</v>
      </c>
      <c r="L31" s="10">
        <v>21600</v>
      </c>
      <c r="M31" s="10">
        <v>0</v>
      </c>
      <c r="N31" s="10">
        <v>21600</v>
      </c>
      <c r="O31" s="10">
        <v>21600</v>
      </c>
      <c r="P31" s="10">
        <v>0</v>
      </c>
      <c r="Q31" s="10">
        <v>648</v>
      </c>
      <c r="R31" s="10">
        <v>0</v>
      </c>
      <c r="S31" s="10">
        <v>0</v>
      </c>
      <c r="T31" s="10">
        <v>0</v>
      </c>
      <c r="U31" s="10">
        <v>20952</v>
      </c>
      <c r="V31" s="13">
        <v>0.03</v>
      </c>
      <c r="W31" s="13">
        <v>0</v>
      </c>
      <c r="X31" s="9">
        <v>6</v>
      </c>
      <c r="Y31" s="14" t="s">
        <v>38</v>
      </c>
      <c r="Z31" s="9" t="s">
        <v>39</v>
      </c>
      <c r="AA31" s="9" t="s">
        <v>132</v>
      </c>
      <c r="AB31" s="10" t="s">
        <v>41</v>
      </c>
      <c r="AC31" s="15" t="s">
        <v>129</v>
      </c>
      <c r="AD31" s="15">
        <v>110900</v>
      </c>
      <c r="AE31" s="9" t="s">
        <v>42</v>
      </c>
      <c r="AF31" s="16" t="s">
        <v>38</v>
      </c>
      <c r="AG31" s="28" t="str">
        <f t="shared" si="0"/>
        <v>Mall Of Arabia</v>
      </c>
      <c r="AH31" s="29" t="str">
        <f t="shared" si="1"/>
        <v>Feb-2026</v>
      </c>
    </row>
    <row r="32" spans="1:34" ht="15">
      <c r="A32" s="8">
        <v>46070</v>
      </c>
      <c r="B32" s="9" t="s">
        <v>60</v>
      </c>
      <c r="C32" s="9" t="s">
        <v>33</v>
      </c>
      <c r="D32" s="9" t="s">
        <v>133</v>
      </c>
      <c r="E32" s="9" t="s">
        <v>35</v>
      </c>
      <c r="F32" s="9" t="s">
        <v>35</v>
      </c>
      <c r="G32" s="9" t="s">
        <v>62</v>
      </c>
      <c r="H32" s="10" t="s">
        <v>134</v>
      </c>
      <c r="I32" s="9">
        <v>-2123469267</v>
      </c>
      <c r="J32" s="11">
        <v>1302266106441</v>
      </c>
      <c r="K32" s="12">
        <v>46066.922256944446</v>
      </c>
      <c r="L32" s="10">
        <v>2400</v>
      </c>
      <c r="M32" s="10">
        <v>0</v>
      </c>
      <c r="N32" s="10">
        <v>2400</v>
      </c>
      <c r="O32" s="10">
        <v>2400</v>
      </c>
      <c r="P32" s="10">
        <v>0</v>
      </c>
      <c r="Q32" s="10">
        <v>72</v>
      </c>
      <c r="R32" s="10">
        <v>0</v>
      </c>
      <c r="S32" s="10">
        <v>0</v>
      </c>
      <c r="T32" s="10">
        <v>0</v>
      </c>
      <c r="U32" s="10">
        <v>2328</v>
      </c>
      <c r="V32" s="13">
        <v>0.03</v>
      </c>
      <c r="W32" s="13">
        <v>0</v>
      </c>
      <c r="X32" s="9">
        <v>6</v>
      </c>
      <c r="Y32" s="14" t="s">
        <v>38</v>
      </c>
      <c r="Z32" s="9" t="s">
        <v>64</v>
      </c>
      <c r="AA32" s="9" t="s">
        <v>135</v>
      </c>
      <c r="AB32" s="10" t="s">
        <v>41</v>
      </c>
      <c r="AC32" s="15" t="s">
        <v>129</v>
      </c>
      <c r="AD32" s="15">
        <v>110900</v>
      </c>
      <c r="AE32" s="9" t="s">
        <v>42</v>
      </c>
      <c r="AF32" s="16" t="s">
        <v>38</v>
      </c>
      <c r="AG32" s="28" t="str">
        <f t="shared" si="0"/>
        <v>CFC</v>
      </c>
      <c r="AH32" s="29" t="str">
        <f t="shared" si="1"/>
        <v>Feb-2026</v>
      </c>
    </row>
    <row r="33" spans="1:34" ht="15">
      <c r="A33" s="8">
        <v>46070</v>
      </c>
      <c r="B33" s="9" t="s">
        <v>90</v>
      </c>
      <c r="C33" s="9" t="s">
        <v>33</v>
      </c>
      <c r="D33" s="9" t="s">
        <v>126</v>
      </c>
      <c r="E33" s="9" t="s">
        <v>35</v>
      </c>
      <c r="F33" s="9" t="s">
        <v>35</v>
      </c>
      <c r="G33" s="9" t="s">
        <v>92</v>
      </c>
      <c r="H33" s="10" t="s">
        <v>136</v>
      </c>
      <c r="I33" s="9">
        <v>-2122633567</v>
      </c>
      <c r="J33" s="11">
        <v>1402265181356190</v>
      </c>
      <c r="K33" s="12">
        <v>46067.569826388892</v>
      </c>
      <c r="L33" s="10">
        <v>4275</v>
      </c>
      <c r="M33" s="10">
        <v>0</v>
      </c>
      <c r="N33" s="10">
        <v>4275</v>
      </c>
      <c r="O33" s="10">
        <v>4275</v>
      </c>
      <c r="P33" s="10">
        <v>0</v>
      </c>
      <c r="Q33" s="10">
        <v>128.25</v>
      </c>
      <c r="R33" s="10">
        <v>0</v>
      </c>
      <c r="S33" s="10">
        <v>0</v>
      </c>
      <c r="T33" s="10">
        <v>0</v>
      </c>
      <c r="U33" s="10">
        <v>4146.75</v>
      </c>
      <c r="V33" s="13">
        <v>0.03</v>
      </c>
      <c r="W33" s="13">
        <v>0</v>
      </c>
      <c r="X33" s="9">
        <v>6</v>
      </c>
      <c r="Y33" s="14" t="s">
        <v>38</v>
      </c>
      <c r="Z33" s="9" t="s">
        <v>94</v>
      </c>
      <c r="AA33" s="9" t="s">
        <v>137</v>
      </c>
      <c r="AB33" s="10" t="s">
        <v>41</v>
      </c>
      <c r="AC33" s="15" t="s">
        <v>129</v>
      </c>
      <c r="AD33" s="15">
        <v>110900</v>
      </c>
      <c r="AE33" s="9" t="s">
        <v>42</v>
      </c>
      <c r="AF33" s="16" t="s">
        <v>38</v>
      </c>
      <c r="AG33" s="28" t="str">
        <f t="shared" si="0"/>
        <v>Ecommerce</v>
      </c>
      <c r="AH33" s="29" t="str">
        <f t="shared" si="1"/>
        <v>Feb-2026</v>
      </c>
    </row>
    <row r="34" spans="1:34" ht="15">
      <c r="A34" s="8">
        <v>46070</v>
      </c>
      <c r="B34" s="9" t="s">
        <v>90</v>
      </c>
      <c r="C34" s="9" t="s">
        <v>33</v>
      </c>
      <c r="D34" s="9" t="s">
        <v>126</v>
      </c>
      <c r="E34" s="9" t="s">
        <v>35</v>
      </c>
      <c r="F34" s="9" t="s">
        <v>35</v>
      </c>
      <c r="G34" s="9" t="s">
        <v>92</v>
      </c>
      <c r="H34" s="10" t="s">
        <v>138</v>
      </c>
      <c r="I34" s="9">
        <v>-2128922268</v>
      </c>
      <c r="J34" s="11">
        <v>1002265144822910</v>
      </c>
      <c r="K34" s="12">
        <v>46063.495370370372</v>
      </c>
      <c r="L34" s="10">
        <v>3210</v>
      </c>
      <c r="M34" s="10">
        <v>0</v>
      </c>
      <c r="N34" s="10">
        <v>3210</v>
      </c>
      <c r="O34" s="10">
        <v>3210</v>
      </c>
      <c r="P34" s="10">
        <v>0</v>
      </c>
      <c r="Q34" s="10">
        <v>96.3</v>
      </c>
      <c r="R34" s="10">
        <v>0</v>
      </c>
      <c r="S34" s="10">
        <v>0</v>
      </c>
      <c r="T34" s="10">
        <v>0</v>
      </c>
      <c r="U34" s="10">
        <v>3113.7</v>
      </c>
      <c r="V34" s="13">
        <v>0.03</v>
      </c>
      <c r="W34" s="13">
        <v>0</v>
      </c>
      <c r="X34" s="9">
        <v>3</v>
      </c>
      <c r="Y34" s="14" t="s">
        <v>38</v>
      </c>
      <c r="Z34" s="9" t="s">
        <v>94</v>
      </c>
      <c r="AA34" s="9" t="s">
        <v>139</v>
      </c>
      <c r="AB34" s="10" t="s">
        <v>41</v>
      </c>
      <c r="AC34" s="15" t="s">
        <v>129</v>
      </c>
      <c r="AD34" s="15">
        <v>110900</v>
      </c>
      <c r="AE34" s="9" t="s">
        <v>42</v>
      </c>
      <c r="AF34" s="16" t="s">
        <v>38</v>
      </c>
      <c r="AG34" s="28" t="str">
        <f t="shared" si="0"/>
        <v>Ecommerce</v>
      </c>
      <c r="AH34" s="29" t="str">
        <f t="shared" si="1"/>
        <v>Feb-2026</v>
      </c>
    </row>
    <row r="35" spans="1:34" ht="15">
      <c r="A35" s="8">
        <v>46070</v>
      </c>
      <c r="B35" s="9" t="s">
        <v>90</v>
      </c>
      <c r="C35" s="9" t="s">
        <v>33</v>
      </c>
      <c r="D35" s="9" t="s">
        <v>126</v>
      </c>
      <c r="E35" s="9" t="s">
        <v>35</v>
      </c>
      <c r="F35" s="9" t="s">
        <v>35</v>
      </c>
      <c r="G35" s="9" t="s">
        <v>92</v>
      </c>
      <c r="H35" s="10" t="s">
        <v>140</v>
      </c>
      <c r="I35" s="9">
        <v>-2124216068</v>
      </c>
      <c r="J35" s="11">
        <v>1302265170789510</v>
      </c>
      <c r="K35" s="12">
        <v>46066.532824074071</v>
      </c>
      <c r="L35" s="10">
        <v>3850</v>
      </c>
      <c r="M35" s="10">
        <v>0</v>
      </c>
      <c r="N35" s="10">
        <v>3850</v>
      </c>
      <c r="O35" s="10">
        <v>3850</v>
      </c>
      <c r="P35" s="10">
        <v>0</v>
      </c>
      <c r="Q35" s="10">
        <v>115.5</v>
      </c>
      <c r="R35" s="10">
        <v>0</v>
      </c>
      <c r="S35" s="10">
        <v>0</v>
      </c>
      <c r="T35" s="10">
        <v>0</v>
      </c>
      <c r="U35" s="10">
        <v>3734.5</v>
      </c>
      <c r="V35" s="13">
        <v>0.03</v>
      </c>
      <c r="W35" s="13">
        <v>0</v>
      </c>
      <c r="X35" s="9">
        <v>6</v>
      </c>
      <c r="Y35" s="14" t="s">
        <v>38</v>
      </c>
      <c r="Z35" s="9" t="s">
        <v>94</v>
      </c>
      <c r="AA35" s="9" t="s">
        <v>141</v>
      </c>
      <c r="AB35" s="10" t="s">
        <v>41</v>
      </c>
      <c r="AC35" s="15" t="s">
        <v>129</v>
      </c>
      <c r="AD35" s="15">
        <v>110900</v>
      </c>
      <c r="AE35" s="9" t="s">
        <v>42</v>
      </c>
      <c r="AF35" s="16" t="s">
        <v>38</v>
      </c>
      <c r="AG35" s="28" t="str">
        <f t="shared" si="0"/>
        <v>Ecommerce</v>
      </c>
      <c r="AH35" s="29" t="str">
        <f t="shared" si="1"/>
        <v>Feb-2026</v>
      </c>
    </row>
    <row r="36" spans="1:34" ht="15">
      <c r="A36" s="8">
        <v>46070</v>
      </c>
      <c r="B36" s="9" t="s">
        <v>90</v>
      </c>
      <c r="C36" s="9" t="s">
        <v>33</v>
      </c>
      <c r="D36" s="9" t="s">
        <v>126</v>
      </c>
      <c r="E36" s="9" t="s">
        <v>35</v>
      </c>
      <c r="F36" s="9" t="s">
        <v>35</v>
      </c>
      <c r="G36" s="9" t="s">
        <v>92</v>
      </c>
      <c r="H36" s="10" t="s">
        <v>142</v>
      </c>
      <c r="I36" s="9">
        <v>-2122196692</v>
      </c>
      <c r="J36" s="11">
        <v>1402265184858610</v>
      </c>
      <c r="K36" s="12">
        <v>46067.813090277778</v>
      </c>
      <c r="L36" s="10">
        <v>4145</v>
      </c>
      <c r="M36" s="10">
        <v>0</v>
      </c>
      <c r="N36" s="10">
        <v>4145</v>
      </c>
      <c r="O36" s="10">
        <v>4145</v>
      </c>
      <c r="P36" s="10">
        <v>0</v>
      </c>
      <c r="Q36" s="10">
        <v>124.35</v>
      </c>
      <c r="R36" s="10">
        <v>0</v>
      </c>
      <c r="S36" s="10">
        <v>0</v>
      </c>
      <c r="T36" s="10">
        <v>0</v>
      </c>
      <c r="U36" s="10">
        <v>4020.65</v>
      </c>
      <c r="V36" s="13">
        <v>0.03</v>
      </c>
      <c r="W36" s="13">
        <v>0</v>
      </c>
      <c r="X36" s="9">
        <v>6</v>
      </c>
      <c r="Y36" s="14" t="s">
        <v>38</v>
      </c>
      <c r="Z36" s="9" t="s">
        <v>94</v>
      </c>
      <c r="AA36" s="9" t="s">
        <v>143</v>
      </c>
      <c r="AB36" s="10" t="s">
        <v>41</v>
      </c>
      <c r="AC36" s="15" t="s">
        <v>129</v>
      </c>
      <c r="AD36" s="15">
        <v>110900</v>
      </c>
      <c r="AE36" s="9" t="s">
        <v>42</v>
      </c>
      <c r="AF36" s="16" t="s">
        <v>38</v>
      </c>
      <c r="AG36" s="28" t="str">
        <f t="shared" si="0"/>
        <v>Ecommerce</v>
      </c>
      <c r="AH36" s="29" t="str">
        <f t="shared" si="1"/>
        <v>Feb-2026</v>
      </c>
    </row>
    <row r="37" spans="1:34" ht="15">
      <c r="A37" s="8">
        <v>46070</v>
      </c>
      <c r="B37" s="9" t="s">
        <v>90</v>
      </c>
      <c r="C37" s="9" t="s">
        <v>33</v>
      </c>
      <c r="D37" s="9" t="s">
        <v>126</v>
      </c>
      <c r="E37" s="9" t="s">
        <v>35</v>
      </c>
      <c r="F37" s="9" t="s">
        <v>35</v>
      </c>
      <c r="G37" s="9" t="s">
        <v>92</v>
      </c>
      <c r="H37" s="10" t="s">
        <v>144</v>
      </c>
      <c r="I37" s="9">
        <v>-2131278185</v>
      </c>
      <c r="J37" s="11">
        <v>902265134463552</v>
      </c>
      <c r="K37" s="12">
        <v>46062.008692129632</v>
      </c>
      <c r="L37" s="10">
        <v>4145</v>
      </c>
      <c r="M37" s="10">
        <v>0</v>
      </c>
      <c r="N37" s="10">
        <v>4145</v>
      </c>
      <c r="O37" s="10">
        <v>4145</v>
      </c>
      <c r="P37" s="10">
        <v>0</v>
      </c>
      <c r="Q37" s="10">
        <v>124.35</v>
      </c>
      <c r="R37" s="10">
        <v>0</v>
      </c>
      <c r="S37" s="10">
        <v>0</v>
      </c>
      <c r="T37" s="10">
        <v>0</v>
      </c>
      <c r="U37" s="10">
        <v>4020.65</v>
      </c>
      <c r="V37" s="13">
        <v>0.03</v>
      </c>
      <c r="W37" s="13">
        <v>0</v>
      </c>
      <c r="X37" s="9">
        <v>3</v>
      </c>
      <c r="Y37" s="14" t="s">
        <v>38</v>
      </c>
      <c r="Z37" s="9" t="s">
        <v>94</v>
      </c>
      <c r="AA37" s="9" t="s">
        <v>145</v>
      </c>
      <c r="AB37" s="10" t="s">
        <v>41</v>
      </c>
      <c r="AC37" s="15" t="s">
        <v>129</v>
      </c>
      <c r="AD37" s="15">
        <v>110900</v>
      </c>
      <c r="AE37" s="9" t="s">
        <v>42</v>
      </c>
      <c r="AF37" s="16" t="s">
        <v>38</v>
      </c>
      <c r="AG37" s="28" t="str">
        <f t="shared" si="0"/>
        <v>Ecommerce</v>
      </c>
      <c r="AH37" s="29" t="str">
        <f t="shared" si="1"/>
        <v>Feb-2026</v>
      </c>
    </row>
    <row r="38" spans="1:34" ht="15">
      <c r="A38" s="8">
        <v>46070</v>
      </c>
      <c r="B38" s="9" t="s">
        <v>60</v>
      </c>
      <c r="C38" s="9" t="s">
        <v>33</v>
      </c>
      <c r="D38" s="9" t="s">
        <v>133</v>
      </c>
      <c r="E38" s="9" t="s">
        <v>35</v>
      </c>
      <c r="F38" s="9" t="s">
        <v>35</v>
      </c>
      <c r="G38" s="9" t="s">
        <v>62</v>
      </c>
      <c r="H38" s="10" t="s">
        <v>146</v>
      </c>
      <c r="I38" s="9">
        <v>-2122193396</v>
      </c>
      <c r="J38" s="11">
        <v>1402266111084</v>
      </c>
      <c r="K38" s="12">
        <v>46067.814120370371</v>
      </c>
      <c r="L38" s="10">
        <v>750</v>
      </c>
      <c r="M38" s="10">
        <v>0</v>
      </c>
      <c r="N38" s="10">
        <v>750</v>
      </c>
      <c r="O38" s="10">
        <v>750</v>
      </c>
      <c r="P38" s="10">
        <v>0</v>
      </c>
      <c r="Q38" s="10">
        <v>22.5</v>
      </c>
      <c r="R38" s="10">
        <v>0</v>
      </c>
      <c r="S38" s="10">
        <v>0</v>
      </c>
      <c r="T38" s="10">
        <v>0</v>
      </c>
      <c r="U38" s="10">
        <v>727.5</v>
      </c>
      <c r="V38" s="13">
        <v>0.03</v>
      </c>
      <c r="W38" s="13">
        <v>0</v>
      </c>
      <c r="X38" s="9">
        <v>6</v>
      </c>
      <c r="Y38" s="14" t="s">
        <v>38</v>
      </c>
      <c r="Z38" s="9" t="s">
        <v>64</v>
      </c>
      <c r="AA38" s="9" t="s">
        <v>147</v>
      </c>
      <c r="AB38" s="10" t="s">
        <v>41</v>
      </c>
      <c r="AC38" s="15" t="s">
        <v>129</v>
      </c>
      <c r="AD38" s="15">
        <v>110900</v>
      </c>
      <c r="AE38" s="9" t="s">
        <v>42</v>
      </c>
      <c r="AF38" s="16" t="s">
        <v>38</v>
      </c>
      <c r="AG38" s="28" t="str">
        <f t="shared" si="0"/>
        <v>CFC</v>
      </c>
      <c r="AH38" s="29" t="str">
        <f t="shared" si="1"/>
        <v>Feb-2026</v>
      </c>
    </row>
    <row r="39" spans="1:34" ht="15">
      <c r="A39" s="8">
        <v>46070</v>
      </c>
      <c r="B39" s="9" t="s">
        <v>90</v>
      </c>
      <c r="C39" s="9" t="s">
        <v>33</v>
      </c>
      <c r="D39" s="9" t="s">
        <v>126</v>
      </c>
      <c r="E39" s="9" t="s">
        <v>35</v>
      </c>
      <c r="F39" s="9" t="s">
        <v>35</v>
      </c>
      <c r="G39" s="9" t="s">
        <v>92</v>
      </c>
      <c r="H39" s="10" t="s">
        <v>148</v>
      </c>
      <c r="I39" s="9">
        <v>-2127434246</v>
      </c>
      <c r="J39" s="11">
        <v>1102265152715470</v>
      </c>
      <c r="K39" s="12">
        <v>46064.464143518519</v>
      </c>
      <c r="L39" s="10">
        <v>4315</v>
      </c>
      <c r="M39" s="10">
        <v>0</v>
      </c>
      <c r="N39" s="10">
        <v>4315</v>
      </c>
      <c r="O39" s="10">
        <v>4315</v>
      </c>
      <c r="P39" s="10">
        <v>0</v>
      </c>
      <c r="Q39" s="10">
        <v>129.44999999999999</v>
      </c>
      <c r="R39" s="10">
        <v>0</v>
      </c>
      <c r="S39" s="10">
        <v>0</v>
      </c>
      <c r="T39" s="10">
        <v>0</v>
      </c>
      <c r="U39" s="10">
        <v>4185.55</v>
      </c>
      <c r="V39" s="13">
        <v>0.03</v>
      </c>
      <c r="W39" s="13">
        <v>0</v>
      </c>
      <c r="X39" s="9">
        <v>3</v>
      </c>
      <c r="Y39" s="14" t="s">
        <v>38</v>
      </c>
      <c r="Z39" s="9" t="s">
        <v>94</v>
      </c>
      <c r="AA39" s="9" t="s">
        <v>149</v>
      </c>
      <c r="AB39" s="10" t="s">
        <v>41</v>
      </c>
      <c r="AC39" s="15" t="s">
        <v>129</v>
      </c>
      <c r="AD39" s="15">
        <v>110900</v>
      </c>
      <c r="AE39" s="9" t="s">
        <v>42</v>
      </c>
      <c r="AF39" s="16" t="s">
        <v>38</v>
      </c>
      <c r="AG39" s="28" t="str">
        <f t="shared" si="0"/>
        <v>Ecommerce</v>
      </c>
      <c r="AH39" s="29" t="str">
        <f t="shared" si="1"/>
        <v>Feb-2026</v>
      </c>
    </row>
    <row r="40" spans="1:34" ht="15">
      <c r="A40" s="8">
        <v>46070</v>
      </c>
      <c r="B40" s="9" t="s">
        <v>90</v>
      </c>
      <c r="C40" s="9" t="s">
        <v>33</v>
      </c>
      <c r="D40" s="9" t="s">
        <v>126</v>
      </c>
      <c r="E40" s="9" t="s">
        <v>35</v>
      </c>
      <c r="F40" s="9" t="s">
        <v>35</v>
      </c>
      <c r="G40" s="9" t="s">
        <v>92</v>
      </c>
      <c r="H40" s="10" t="s">
        <v>150</v>
      </c>
      <c r="I40" s="9">
        <v>-2128460441</v>
      </c>
      <c r="J40" s="11">
        <v>1002265147858190</v>
      </c>
      <c r="K40" s="12">
        <v>46063.769016203703</v>
      </c>
      <c r="L40" s="10">
        <v>3210</v>
      </c>
      <c r="M40" s="10">
        <v>0</v>
      </c>
      <c r="N40" s="10">
        <v>3210</v>
      </c>
      <c r="O40" s="10">
        <v>3210</v>
      </c>
      <c r="P40" s="10">
        <v>0</v>
      </c>
      <c r="Q40" s="10">
        <v>96.3</v>
      </c>
      <c r="R40" s="10">
        <v>0</v>
      </c>
      <c r="S40" s="10">
        <v>0</v>
      </c>
      <c r="T40" s="10">
        <v>0</v>
      </c>
      <c r="U40" s="10">
        <v>3113.7</v>
      </c>
      <c r="V40" s="13">
        <v>0.03</v>
      </c>
      <c r="W40" s="13">
        <v>0</v>
      </c>
      <c r="X40" s="9">
        <v>3</v>
      </c>
      <c r="Y40" s="14" t="s">
        <v>38</v>
      </c>
      <c r="Z40" s="9" t="s">
        <v>94</v>
      </c>
      <c r="AA40" s="9" t="s">
        <v>151</v>
      </c>
      <c r="AB40" s="10" t="s">
        <v>41</v>
      </c>
      <c r="AC40" s="15" t="s">
        <v>129</v>
      </c>
      <c r="AD40" s="15">
        <v>110900</v>
      </c>
      <c r="AE40" s="9" t="s">
        <v>42</v>
      </c>
      <c r="AF40" s="16" t="s">
        <v>38</v>
      </c>
      <c r="AG40" s="28" t="str">
        <f t="shared" si="0"/>
        <v>Ecommerce</v>
      </c>
      <c r="AH40" s="29" t="str">
        <f t="shared" si="1"/>
        <v>Feb-2026</v>
      </c>
    </row>
    <row r="41" spans="1:34" ht="15">
      <c r="A41" s="8">
        <v>46070</v>
      </c>
      <c r="B41" s="9" t="s">
        <v>90</v>
      </c>
      <c r="C41" s="9" t="s">
        <v>33</v>
      </c>
      <c r="D41" s="9" t="s">
        <v>126</v>
      </c>
      <c r="E41" s="9" t="s">
        <v>35</v>
      </c>
      <c r="F41" s="9" t="s">
        <v>35</v>
      </c>
      <c r="G41" s="9" t="s">
        <v>92</v>
      </c>
      <c r="H41" s="10" t="s">
        <v>152</v>
      </c>
      <c r="I41" s="9">
        <v>-2125364441</v>
      </c>
      <c r="J41" s="11">
        <v>1202265164809760</v>
      </c>
      <c r="K41" s="12">
        <v>46065.719212962962</v>
      </c>
      <c r="L41" s="10">
        <v>5680</v>
      </c>
      <c r="M41" s="10">
        <v>0</v>
      </c>
      <c r="N41" s="10">
        <v>5680</v>
      </c>
      <c r="O41" s="10">
        <v>5680</v>
      </c>
      <c r="P41" s="10">
        <v>0</v>
      </c>
      <c r="Q41" s="10">
        <v>170.4</v>
      </c>
      <c r="R41" s="10">
        <v>0</v>
      </c>
      <c r="S41" s="10">
        <v>0</v>
      </c>
      <c r="T41" s="10">
        <v>0</v>
      </c>
      <c r="U41" s="10">
        <v>5509.6</v>
      </c>
      <c r="V41" s="13">
        <v>3.0000000000000002E-2</v>
      </c>
      <c r="W41" s="13">
        <v>0</v>
      </c>
      <c r="X41" s="9">
        <v>9</v>
      </c>
      <c r="Y41" s="14" t="s">
        <v>38</v>
      </c>
      <c r="Z41" s="9" t="s">
        <v>94</v>
      </c>
      <c r="AA41" s="9" t="s">
        <v>153</v>
      </c>
      <c r="AB41" s="10" t="s">
        <v>41</v>
      </c>
      <c r="AC41" s="15" t="s">
        <v>129</v>
      </c>
      <c r="AD41" s="15">
        <v>110900</v>
      </c>
      <c r="AE41" s="9" t="s">
        <v>42</v>
      </c>
      <c r="AF41" s="16" t="s">
        <v>38</v>
      </c>
      <c r="AG41" s="28" t="str">
        <f t="shared" si="0"/>
        <v>Ecommerce</v>
      </c>
      <c r="AH41" s="29" t="str">
        <f t="shared" si="1"/>
        <v>Feb-2026</v>
      </c>
    </row>
    <row r="42" spans="1:34" ht="15">
      <c r="A42" s="8">
        <v>46070</v>
      </c>
      <c r="B42" s="9" t="s">
        <v>90</v>
      </c>
      <c r="C42" s="9" t="s">
        <v>33</v>
      </c>
      <c r="D42" s="9" t="s">
        <v>126</v>
      </c>
      <c r="E42" s="9" t="s">
        <v>35</v>
      </c>
      <c r="F42" s="9" t="s">
        <v>35</v>
      </c>
      <c r="G42" s="9" t="s">
        <v>92</v>
      </c>
      <c r="H42" s="10" t="s">
        <v>154</v>
      </c>
      <c r="I42" s="9">
        <v>-2123650429</v>
      </c>
      <c r="J42" s="11">
        <v>1302265175555890</v>
      </c>
      <c r="K42" s="12">
        <v>46066.840138888889</v>
      </c>
      <c r="L42" s="10">
        <v>3880</v>
      </c>
      <c r="M42" s="10">
        <v>0</v>
      </c>
      <c r="N42" s="10">
        <v>3880</v>
      </c>
      <c r="O42" s="10">
        <v>3880</v>
      </c>
      <c r="P42" s="10">
        <v>0</v>
      </c>
      <c r="Q42" s="10">
        <v>116.4</v>
      </c>
      <c r="R42" s="10">
        <v>0</v>
      </c>
      <c r="S42" s="10">
        <v>0</v>
      </c>
      <c r="T42" s="10">
        <v>0</v>
      </c>
      <c r="U42" s="10">
        <v>3763.6</v>
      </c>
      <c r="V42" s="13">
        <v>3.0000000000000002E-2</v>
      </c>
      <c r="W42" s="13">
        <v>0</v>
      </c>
      <c r="X42" s="9">
        <v>3</v>
      </c>
      <c r="Y42" s="14" t="s">
        <v>38</v>
      </c>
      <c r="Z42" s="9" t="s">
        <v>94</v>
      </c>
      <c r="AA42" s="9" t="s">
        <v>155</v>
      </c>
      <c r="AB42" s="10" t="s">
        <v>41</v>
      </c>
      <c r="AC42" s="15" t="s">
        <v>129</v>
      </c>
      <c r="AD42" s="15">
        <v>110900</v>
      </c>
      <c r="AE42" s="9" t="s">
        <v>42</v>
      </c>
      <c r="AF42" s="16" t="s">
        <v>38</v>
      </c>
      <c r="AG42" s="28" t="str">
        <f t="shared" si="0"/>
        <v>Ecommerce</v>
      </c>
      <c r="AH42" s="29" t="str">
        <f t="shared" si="1"/>
        <v>Feb-2026</v>
      </c>
    </row>
    <row r="43" spans="1:34" ht="15">
      <c r="A43" s="8">
        <v>46070</v>
      </c>
      <c r="B43" s="9" t="s">
        <v>90</v>
      </c>
      <c r="C43" s="9" t="s">
        <v>33</v>
      </c>
      <c r="D43" s="9" t="s">
        <v>126</v>
      </c>
      <c r="E43" s="9" t="s">
        <v>35</v>
      </c>
      <c r="F43" s="9" t="s">
        <v>35</v>
      </c>
      <c r="G43" s="9" t="s">
        <v>92</v>
      </c>
      <c r="H43" s="10" t="s">
        <v>156</v>
      </c>
      <c r="I43" s="9">
        <v>-2123800135</v>
      </c>
      <c r="J43" s="11">
        <v>1302265174326640</v>
      </c>
      <c r="K43" s="12">
        <v>46066.768703703703</v>
      </c>
      <c r="L43" s="10">
        <v>3210</v>
      </c>
      <c r="M43" s="10">
        <v>0</v>
      </c>
      <c r="N43" s="10">
        <v>3210</v>
      </c>
      <c r="O43" s="10">
        <v>3210</v>
      </c>
      <c r="P43" s="10">
        <v>0</v>
      </c>
      <c r="Q43" s="10">
        <v>96.3</v>
      </c>
      <c r="R43" s="10">
        <v>0</v>
      </c>
      <c r="S43" s="10">
        <v>0</v>
      </c>
      <c r="T43" s="10">
        <v>0</v>
      </c>
      <c r="U43" s="10">
        <v>3113.7</v>
      </c>
      <c r="V43" s="13">
        <v>0.03</v>
      </c>
      <c r="W43" s="13">
        <v>0</v>
      </c>
      <c r="X43" s="9">
        <v>6</v>
      </c>
      <c r="Y43" s="14" t="s">
        <v>38</v>
      </c>
      <c r="Z43" s="9" t="s">
        <v>94</v>
      </c>
      <c r="AA43" s="9" t="s">
        <v>157</v>
      </c>
      <c r="AB43" s="10" t="s">
        <v>41</v>
      </c>
      <c r="AC43" s="15" t="s">
        <v>129</v>
      </c>
      <c r="AD43" s="15">
        <v>110900</v>
      </c>
      <c r="AE43" s="9" t="s">
        <v>42</v>
      </c>
      <c r="AF43" s="16" t="s">
        <v>38</v>
      </c>
      <c r="AG43" s="28" t="str">
        <f t="shared" si="0"/>
        <v>Ecommerce</v>
      </c>
      <c r="AH43" s="29" t="str">
        <f t="shared" si="1"/>
        <v>Feb-2026</v>
      </c>
    </row>
    <row r="44" spans="1:34" ht="15">
      <c r="A44" s="8">
        <v>46070</v>
      </c>
      <c r="B44" s="9" t="s">
        <v>90</v>
      </c>
      <c r="C44" s="9" t="s">
        <v>33</v>
      </c>
      <c r="D44" s="9" t="s">
        <v>126</v>
      </c>
      <c r="E44" s="9" t="s">
        <v>35</v>
      </c>
      <c r="F44" s="9" t="s">
        <v>35</v>
      </c>
      <c r="G44" s="9" t="s">
        <v>92</v>
      </c>
      <c r="H44" s="10" t="s">
        <v>158</v>
      </c>
      <c r="I44" s="9">
        <v>-2124244378</v>
      </c>
      <c r="J44" s="11">
        <v>1302265170509280</v>
      </c>
      <c r="K44" s="12">
        <v>46066.501562500001</v>
      </c>
      <c r="L44" s="10">
        <v>3210</v>
      </c>
      <c r="M44" s="10">
        <v>0</v>
      </c>
      <c r="N44" s="10">
        <v>3210</v>
      </c>
      <c r="O44" s="10">
        <v>3210</v>
      </c>
      <c r="P44" s="10">
        <v>0</v>
      </c>
      <c r="Q44" s="10">
        <v>96.3</v>
      </c>
      <c r="R44" s="10">
        <v>0</v>
      </c>
      <c r="S44" s="10">
        <v>0</v>
      </c>
      <c r="T44" s="10">
        <v>0</v>
      </c>
      <c r="U44" s="10">
        <v>3113.7</v>
      </c>
      <c r="V44" s="13">
        <v>0.03</v>
      </c>
      <c r="W44" s="13">
        <v>0</v>
      </c>
      <c r="X44" s="9">
        <v>6</v>
      </c>
      <c r="Y44" s="14" t="s">
        <v>38</v>
      </c>
      <c r="Z44" s="9" t="s">
        <v>94</v>
      </c>
      <c r="AA44" s="9" t="s">
        <v>159</v>
      </c>
      <c r="AB44" s="10" t="s">
        <v>41</v>
      </c>
      <c r="AC44" s="15" t="s">
        <v>129</v>
      </c>
      <c r="AD44" s="15">
        <v>110900</v>
      </c>
      <c r="AE44" s="9" t="s">
        <v>42</v>
      </c>
      <c r="AF44" s="16" t="s">
        <v>38</v>
      </c>
      <c r="AG44" s="28" t="str">
        <f t="shared" si="0"/>
        <v>Ecommerce</v>
      </c>
      <c r="AH44" s="29" t="str">
        <f t="shared" si="1"/>
        <v>Feb-2026</v>
      </c>
    </row>
    <row r="45" spans="1:34" ht="15">
      <c r="A45" s="8">
        <v>46070</v>
      </c>
      <c r="B45" s="9" t="s">
        <v>32</v>
      </c>
      <c r="C45" s="9" t="s">
        <v>33</v>
      </c>
      <c r="D45" s="9" t="s">
        <v>130</v>
      </c>
      <c r="E45" s="9" t="s">
        <v>35</v>
      </c>
      <c r="F45" s="9" t="s">
        <v>35</v>
      </c>
      <c r="G45" s="9" t="s">
        <v>36</v>
      </c>
      <c r="H45" s="10" t="s">
        <v>160</v>
      </c>
      <c r="I45" s="9">
        <v>-2123416074</v>
      </c>
      <c r="J45" s="11">
        <v>1302266106962</v>
      </c>
      <c r="K45" s="12">
        <v>46066.94767361111</v>
      </c>
      <c r="L45" s="10">
        <v>2890</v>
      </c>
      <c r="M45" s="10">
        <v>0</v>
      </c>
      <c r="N45" s="10">
        <v>2890</v>
      </c>
      <c r="O45" s="10">
        <v>2890</v>
      </c>
      <c r="P45" s="10">
        <v>0</v>
      </c>
      <c r="Q45" s="10">
        <v>86.7</v>
      </c>
      <c r="R45" s="10">
        <v>0</v>
      </c>
      <c r="S45" s="10">
        <v>0</v>
      </c>
      <c r="T45" s="10">
        <v>0</v>
      </c>
      <c r="U45" s="10">
        <v>2803.3</v>
      </c>
      <c r="V45" s="13">
        <v>3.0000000000000002E-2</v>
      </c>
      <c r="W45" s="13">
        <v>0</v>
      </c>
      <c r="X45" s="9">
        <v>3</v>
      </c>
      <c r="Y45" s="14" t="s">
        <v>38</v>
      </c>
      <c r="Z45" s="9" t="s">
        <v>39</v>
      </c>
      <c r="AA45" s="9" t="s">
        <v>161</v>
      </c>
      <c r="AB45" s="10" t="s">
        <v>41</v>
      </c>
      <c r="AC45" s="15" t="s">
        <v>129</v>
      </c>
      <c r="AD45" s="15">
        <v>110900</v>
      </c>
      <c r="AE45" s="9" t="s">
        <v>42</v>
      </c>
      <c r="AF45" s="16" t="s">
        <v>38</v>
      </c>
      <c r="AG45" s="28" t="str">
        <f t="shared" si="0"/>
        <v>Mall Of Arabia</v>
      </c>
      <c r="AH45" s="29" t="str">
        <f t="shared" si="1"/>
        <v>Feb-2026</v>
      </c>
    </row>
    <row r="46" spans="1:34" ht="15">
      <c r="A46" s="8">
        <v>46077</v>
      </c>
      <c r="B46" s="9" t="s">
        <v>90</v>
      </c>
      <c r="C46" s="9" t="s">
        <v>33</v>
      </c>
      <c r="D46" s="9" t="s">
        <v>162</v>
      </c>
      <c r="E46" s="9" t="s">
        <v>35</v>
      </c>
      <c r="F46" s="9" t="s">
        <v>35</v>
      </c>
      <c r="G46" s="9" t="s">
        <v>92</v>
      </c>
      <c r="H46" s="10" t="s">
        <v>163</v>
      </c>
      <c r="I46" s="9">
        <v>-2114656186</v>
      </c>
      <c r="J46" s="11">
        <v>1902265226030380</v>
      </c>
      <c r="K46" s="12">
        <v>46072.865752314814</v>
      </c>
      <c r="L46" s="10">
        <v>5610</v>
      </c>
      <c r="M46" s="10">
        <v>0</v>
      </c>
      <c r="N46" s="10">
        <v>5610</v>
      </c>
      <c r="O46" s="10">
        <v>5610</v>
      </c>
      <c r="P46" s="10">
        <v>0</v>
      </c>
      <c r="Q46" s="10">
        <v>168.3</v>
      </c>
      <c r="R46" s="10">
        <v>0</v>
      </c>
      <c r="S46" s="10">
        <v>0</v>
      </c>
      <c r="T46" s="10">
        <v>0</v>
      </c>
      <c r="U46" s="10">
        <v>5441.7</v>
      </c>
      <c r="V46" s="13">
        <v>3.0000000000000002E-2</v>
      </c>
      <c r="W46" s="13">
        <v>0</v>
      </c>
      <c r="X46" s="9">
        <v>12</v>
      </c>
      <c r="Y46" s="14" t="s">
        <v>38</v>
      </c>
      <c r="Z46" s="9" t="s">
        <v>94</v>
      </c>
      <c r="AA46" s="9" t="s">
        <v>164</v>
      </c>
      <c r="AB46" s="10" t="s">
        <v>41</v>
      </c>
      <c r="AC46" s="10" t="s">
        <v>38</v>
      </c>
      <c r="AD46" s="15">
        <v>210907</v>
      </c>
      <c r="AE46" s="9" t="s">
        <v>89</v>
      </c>
      <c r="AF46" s="16" t="s">
        <v>38</v>
      </c>
      <c r="AG46" s="28" t="str">
        <f t="shared" si="0"/>
        <v>Ecommerce</v>
      </c>
      <c r="AH46" s="29" t="str">
        <f t="shared" si="1"/>
        <v>Feb-2026</v>
      </c>
    </row>
    <row r="47" spans="1:34" ht="15">
      <c r="A47" s="8">
        <v>46077</v>
      </c>
      <c r="B47" s="9" t="s">
        <v>90</v>
      </c>
      <c r="C47" s="9" t="s">
        <v>33</v>
      </c>
      <c r="D47" s="9" t="s">
        <v>162</v>
      </c>
      <c r="E47" s="9" t="s">
        <v>35</v>
      </c>
      <c r="F47" s="9" t="s">
        <v>35</v>
      </c>
      <c r="G47" s="9" t="s">
        <v>92</v>
      </c>
      <c r="H47" s="10" t="s">
        <v>165</v>
      </c>
      <c r="I47" s="9">
        <v>-2114509060</v>
      </c>
      <c r="J47" s="11">
        <v>1902265227180450</v>
      </c>
      <c r="K47" s="12">
        <v>46072.983437499999</v>
      </c>
      <c r="L47" s="10">
        <v>7500</v>
      </c>
      <c r="M47" s="10">
        <v>0</v>
      </c>
      <c r="N47" s="10">
        <v>7500</v>
      </c>
      <c r="O47" s="10">
        <v>7500</v>
      </c>
      <c r="P47" s="10">
        <v>0</v>
      </c>
      <c r="Q47" s="10">
        <v>225</v>
      </c>
      <c r="R47" s="10">
        <v>0</v>
      </c>
      <c r="S47" s="10">
        <v>0</v>
      </c>
      <c r="T47" s="10">
        <v>0</v>
      </c>
      <c r="U47" s="10">
        <v>7275</v>
      </c>
      <c r="V47" s="13">
        <v>0.03</v>
      </c>
      <c r="W47" s="13">
        <v>0</v>
      </c>
      <c r="X47" s="9">
        <v>1</v>
      </c>
      <c r="Y47" s="14" t="s">
        <v>38</v>
      </c>
      <c r="Z47" s="9" t="s">
        <v>94</v>
      </c>
      <c r="AA47" s="9" t="s">
        <v>166</v>
      </c>
      <c r="AB47" s="10" t="s">
        <v>41</v>
      </c>
      <c r="AC47" s="10" t="s">
        <v>38</v>
      </c>
      <c r="AD47" s="15">
        <v>210907</v>
      </c>
      <c r="AE47" s="9" t="s">
        <v>89</v>
      </c>
      <c r="AF47" s="16" t="s">
        <v>38</v>
      </c>
      <c r="AG47" s="28" t="str">
        <f t="shared" si="0"/>
        <v>Ecommerce</v>
      </c>
      <c r="AH47" s="29" t="str">
        <f t="shared" si="1"/>
        <v>Feb-2026</v>
      </c>
    </row>
    <row r="48" spans="1:34" ht="15">
      <c r="A48" s="8">
        <v>46077</v>
      </c>
      <c r="B48" s="9" t="s">
        <v>90</v>
      </c>
      <c r="C48" s="9" t="s">
        <v>33</v>
      </c>
      <c r="D48" s="9" t="s">
        <v>162</v>
      </c>
      <c r="E48" s="9" t="s">
        <v>35</v>
      </c>
      <c r="F48" s="9" t="s">
        <v>35</v>
      </c>
      <c r="G48" s="9" t="s">
        <v>92</v>
      </c>
      <c r="H48" s="10" t="s">
        <v>167</v>
      </c>
      <c r="I48" s="9">
        <v>-2121073523</v>
      </c>
      <c r="J48" s="11">
        <v>1502265190667020</v>
      </c>
      <c r="K48" s="12">
        <v>46068.589375000003</v>
      </c>
      <c r="L48" s="10">
        <v>3210</v>
      </c>
      <c r="M48" s="10">
        <v>0</v>
      </c>
      <c r="N48" s="10">
        <v>3210</v>
      </c>
      <c r="O48" s="10">
        <v>3210</v>
      </c>
      <c r="P48" s="10">
        <v>0</v>
      </c>
      <c r="Q48" s="10">
        <v>96.3</v>
      </c>
      <c r="R48" s="10">
        <v>0</v>
      </c>
      <c r="S48" s="10">
        <v>0</v>
      </c>
      <c r="T48" s="10">
        <v>0</v>
      </c>
      <c r="U48" s="10">
        <v>3113.7</v>
      </c>
      <c r="V48" s="13">
        <v>0.03</v>
      </c>
      <c r="W48" s="13">
        <v>0</v>
      </c>
      <c r="X48" s="9">
        <v>3</v>
      </c>
      <c r="Y48" s="14" t="s">
        <v>38</v>
      </c>
      <c r="Z48" s="9" t="s">
        <v>94</v>
      </c>
      <c r="AA48" s="9" t="s">
        <v>168</v>
      </c>
      <c r="AB48" s="10" t="s">
        <v>41</v>
      </c>
      <c r="AC48" s="10" t="s">
        <v>38</v>
      </c>
      <c r="AD48" s="15">
        <v>210907</v>
      </c>
      <c r="AE48" s="9" t="s">
        <v>89</v>
      </c>
      <c r="AF48" s="16" t="s">
        <v>38</v>
      </c>
      <c r="AG48" s="28" t="str">
        <f t="shared" si="0"/>
        <v>Ecommerce</v>
      </c>
      <c r="AH48" s="29" t="str">
        <f t="shared" si="1"/>
        <v>Feb-2026</v>
      </c>
    </row>
    <row r="49" spans="1:34" ht="15">
      <c r="A49" s="8">
        <v>46077</v>
      </c>
      <c r="B49" s="9" t="s">
        <v>90</v>
      </c>
      <c r="C49" s="9" t="s">
        <v>33</v>
      </c>
      <c r="D49" s="9" t="s">
        <v>162</v>
      </c>
      <c r="E49" s="9" t="s">
        <v>35</v>
      </c>
      <c r="F49" s="9" t="s">
        <v>35</v>
      </c>
      <c r="G49" s="9" t="s">
        <v>92</v>
      </c>
      <c r="H49" s="10" t="s">
        <v>148</v>
      </c>
      <c r="I49" s="9">
        <v>-2116527283</v>
      </c>
      <c r="J49" s="11">
        <v>1802265215260820</v>
      </c>
      <c r="K49" s="12">
        <v>46064</v>
      </c>
      <c r="L49" s="10">
        <v>150</v>
      </c>
      <c r="M49" s="10">
        <v>0</v>
      </c>
      <c r="N49" s="10">
        <v>150</v>
      </c>
      <c r="O49" s="10">
        <v>150</v>
      </c>
      <c r="P49" s="10">
        <v>0</v>
      </c>
      <c r="Q49" s="10">
        <v>4.5</v>
      </c>
      <c r="R49" s="10">
        <v>0</v>
      </c>
      <c r="S49" s="10">
        <v>0</v>
      </c>
      <c r="T49" s="10">
        <v>0</v>
      </c>
      <c r="U49" s="10">
        <v>145.5</v>
      </c>
      <c r="V49" s="13">
        <v>0.03</v>
      </c>
      <c r="W49" s="13">
        <v>0</v>
      </c>
      <c r="X49" s="9">
        <v>3</v>
      </c>
      <c r="Y49" s="14" t="s">
        <v>38</v>
      </c>
      <c r="Z49" s="9" t="s">
        <v>94</v>
      </c>
      <c r="AA49" s="9" t="s">
        <v>149</v>
      </c>
      <c r="AB49" s="10" t="s">
        <v>41</v>
      </c>
      <c r="AC49" s="10" t="s">
        <v>38</v>
      </c>
      <c r="AD49" s="15">
        <v>210907</v>
      </c>
      <c r="AE49" s="9" t="s">
        <v>89</v>
      </c>
      <c r="AF49" s="16" t="s">
        <v>38</v>
      </c>
      <c r="AG49" s="28" t="str">
        <f t="shared" si="0"/>
        <v>Ecommerce</v>
      </c>
      <c r="AH49" s="29" t="str">
        <f t="shared" si="1"/>
        <v>Feb-2026</v>
      </c>
    </row>
    <row r="50" spans="1:34" ht="15">
      <c r="A50" s="8">
        <v>46077</v>
      </c>
      <c r="B50" s="9" t="s">
        <v>90</v>
      </c>
      <c r="C50" s="9" t="s">
        <v>33</v>
      </c>
      <c r="D50" s="9" t="s">
        <v>162</v>
      </c>
      <c r="E50" s="9" t="s">
        <v>35</v>
      </c>
      <c r="F50" s="9" t="s">
        <v>35</v>
      </c>
      <c r="G50" s="9" t="s">
        <v>92</v>
      </c>
      <c r="H50" s="10" t="s">
        <v>169</v>
      </c>
      <c r="I50" s="9">
        <v>-2120028276</v>
      </c>
      <c r="J50" s="11">
        <v>1602265196456250</v>
      </c>
      <c r="K50" s="12">
        <v>46069.142627314817</v>
      </c>
      <c r="L50" s="10">
        <v>3220</v>
      </c>
      <c r="M50" s="10">
        <v>0</v>
      </c>
      <c r="N50" s="10">
        <v>3220</v>
      </c>
      <c r="O50" s="10">
        <v>3220</v>
      </c>
      <c r="P50" s="10">
        <v>0</v>
      </c>
      <c r="Q50" s="10">
        <v>96.6</v>
      </c>
      <c r="R50" s="10">
        <v>0</v>
      </c>
      <c r="S50" s="10">
        <v>0</v>
      </c>
      <c r="T50" s="10">
        <v>0</v>
      </c>
      <c r="U50" s="10">
        <v>3123.4</v>
      </c>
      <c r="V50" s="13">
        <v>0.03</v>
      </c>
      <c r="W50" s="13">
        <v>0</v>
      </c>
      <c r="X50" s="9">
        <v>9</v>
      </c>
      <c r="Y50" s="14" t="s">
        <v>38</v>
      </c>
      <c r="Z50" s="9" t="s">
        <v>94</v>
      </c>
      <c r="AA50" s="9" t="s">
        <v>170</v>
      </c>
      <c r="AB50" s="10" t="s">
        <v>41</v>
      </c>
      <c r="AC50" s="10" t="s">
        <v>38</v>
      </c>
      <c r="AD50" s="15">
        <v>210907</v>
      </c>
      <c r="AE50" s="9" t="s">
        <v>89</v>
      </c>
      <c r="AF50" s="16" t="s">
        <v>38</v>
      </c>
      <c r="AG50" s="28" t="str">
        <f t="shared" si="0"/>
        <v>Ecommerce</v>
      </c>
      <c r="AH50" s="29" t="str">
        <f t="shared" si="1"/>
        <v>Feb-2026</v>
      </c>
    </row>
    <row r="51" spans="1:34" ht="15">
      <c r="A51" s="8">
        <v>46077</v>
      </c>
      <c r="B51" s="9" t="s">
        <v>90</v>
      </c>
      <c r="C51" s="9" t="s">
        <v>171</v>
      </c>
      <c r="D51" s="9" t="s">
        <v>162</v>
      </c>
      <c r="E51" s="9" t="s">
        <v>35</v>
      </c>
      <c r="F51" s="9" t="s">
        <v>35</v>
      </c>
      <c r="G51" s="9" t="s">
        <v>92</v>
      </c>
      <c r="H51" s="10" t="s">
        <v>152</v>
      </c>
      <c r="I51" s="9">
        <v>-2125364441</v>
      </c>
      <c r="J51" s="11">
        <v>1202265164809760</v>
      </c>
      <c r="K51" s="12">
        <v>46065.719212962962</v>
      </c>
      <c r="L51" s="10">
        <v>-5680</v>
      </c>
      <c r="M51" s="10">
        <v>0</v>
      </c>
      <c r="N51" s="10">
        <v>-5680</v>
      </c>
      <c r="O51" s="10">
        <v>-5680</v>
      </c>
      <c r="P51" s="10">
        <v>0</v>
      </c>
      <c r="Q51" s="10">
        <v>-170.4</v>
      </c>
      <c r="R51" s="10">
        <v>0</v>
      </c>
      <c r="S51" s="10">
        <v>0</v>
      </c>
      <c r="T51" s="10">
        <v>0</v>
      </c>
      <c r="U51" s="10">
        <v>-5509.6</v>
      </c>
      <c r="V51" s="13">
        <v>3.0000000000000002E-2</v>
      </c>
      <c r="W51" s="13">
        <v>0</v>
      </c>
      <c r="X51" s="9">
        <v>9</v>
      </c>
      <c r="Y51" s="14">
        <v>46069</v>
      </c>
      <c r="Z51" s="9" t="s">
        <v>94</v>
      </c>
      <c r="AA51" s="9" t="s">
        <v>38</v>
      </c>
      <c r="AB51" s="10" t="s">
        <v>41</v>
      </c>
      <c r="AC51" s="10" t="s">
        <v>38</v>
      </c>
      <c r="AD51" s="15">
        <v>210907</v>
      </c>
      <c r="AE51" s="9" t="s">
        <v>89</v>
      </c>
      <c r="AF51" s="16" t="s">
        <v>38</v>
      </c>
      <c r="AG51" s="28" t="str">
        <f t="shared" si="0"/>
        <v>Ecommerce</v>
      </c>
      <c r="AH51" s="29" t="str">
        <f t="shared" si="1"/>
        <v>Feb-2026</v>
      </c>
    </row>
    <row r="52" spans="1:34" ht="15">
      <c r="A52" s="8">
        <v>46077</v>
      </c>
      <c r="B52" s="9" t="s">
        <v>90</v>
      </c>
      <c r="C52" s="9" t="s">
        <v>171</v>
      </c>
      <c r="D52" s="9" t="s">
        <v>162</v>
      </c>
      <c r="E52" s="9" t="s">
        <v>35</v>
      </c>
      <c r="F52" s="9" t="s">
        <v>35</v>
      </c>
      <c r="G52" s="9" t="s">
        <v>92</v>
      </c>
      <c r="H52" s="10" t="s">
        <v>172</v>
      </c>
      <c r="I52" s="9">
        <v>-2127434246</v>
      </c>
      <c r="J52" s="11">
        <v>1102265152715470</v>
      </c>
      <c r="K52" s="12">
        <v>46064.464143518519</v>
      </c>
      <c r="L52" s="10">
        <v>-4315</v>
      </c>
      <c r="M52" s="10">
        <v>0</v>
      </c>
      <c r="N52" s="10">
        <v>-4315</v>
      </c>
      <c r="O52" s="10">
        <v>-4315</v>
      </c>
      <c r="P52" s="10">
        <v>0</v>
      </c>
      <c r="Q52" s="10">
        <v>-129.44999999999999</v>
      </c>
      <c r="R52" s="10">
        <v>0</v>
      </c>
      <c r="S52" s="10">
        <v>0</v>
      </c>
      <c r="T52" s="10">
        <v>0</v>
      </c>
      <c r="U52" s="10">
        <v>-4185.55</v>
      </c>
      <c r="V52" s="13">
        <v>0.03</v>
      </c>
      <c r="W52" s="13">
        <v>0</v>
      </c>
      <c r="X52" s="9">
        <v>3</v>
      </c>
      <c r="Y52" s="14">
        <v>46071</v>
      </c>
      <c r="Z52" s="9" t="s">
        <v>94</v>
      </c>
      <c r="AA52" s="9" t="s">
        <v>38</v>
      </c>
      <c r="AB52" s="10" t="s">
        <v>41</v>
      </c>
      <c r="AC52" s="10" t="s">
        <v>38</v>
      </c>
      <c r="AD52" s="15">
        <v>210907</v>
      </c>
      <c r="AE52" s="9" t="s">
        <v>89</v>
      </c>
      <c r="AF52" s="16" t="s">
        <v>38</v>
      </c>
      <c r="AG52" s="28" t="str">
        <f t="shared" si="0"/>
        <v>Ecommerce</v>
      </c>
      <c r="AH52" s="29" t="str">
        <f t="shared" si="1"/>
        <v>Feb-2026</v>
      </c>
    </row>
    <row r="53" spans="1:34" ht="15">
      <c r="A53" s="8">
        <v>46077</v>
      </c>
      <c r="B53" s="9" t="s">
        <v>32</v>
      </c>
      <c r="C53" s="9" t="s">
        <v>171</v>
      </c>
      <c r="D53" s="9" t="s">
        <v>162</v>
      </c>
      <c r="E53" s="9" t="s">
        <v>35</v>
      </c>
      <c r="F53" s="9" t="s">
        <v>35</v>
      </c>
      <c r="G53" s="9" t="s">
        <v>36</v>
      </c>
      <c r="H53" s="10" t="s">
        <v>131</v>
      </c>
      <c r="I53" s="9">
        <v>-2122162013</v>
      </c>
      <c r="J53" s="11">
        <v>1402266111273</v>
      </c>
      <c r="K53" s="12">
        <v>46067.832881944443</v>
      </c>
      <c r="L53" s="10">
        <v>-21600</v>
      </c>
      <c r="M53" s="10">
        <v>0</v>
      </c>
      <c r="N53" s="10">
        <v>-21600</v>
      </c>
      <c r="O53" s="10">
        <v>-21600</v>
      </c>
      <c r="P53" s="10">
        <v>0</v>
      </c>
      <c r="Q53" s="10">
        <v>-648</v>
      </c>
      <c r="R53" s="10">
        <v>0</v>
      </c>
      <c r="S53" s="10">
        <v>0</v>
      </c>
      <c r="T53" s="10">
        <v>0</v>
      </c>
      <c r="U53" s="10">
        <v>-20952</v>
      </c>
      <c r="V53" s="13">
        <v>0.03</v>
      </c>
      <c r="W53" s="13">
        <v>0</v>
      </c>
      <c r="X53" s="9">
        <v>6</v>
      </c>
      <c r="Y53" s="14">
        <v>46076</v>
      </c>
      <c r="Z53" s="9" t="s">
        <v>39</v>
      </c>
      <c r="AA53" s="9" t="s">
        <v>38</v>
      </c>
      <c r="AB53" s="10" t="s">
        <v>41</v>
      </c>
      <c r="AC53" s="10" t="s">
        <v>38</v>
      </c>
      <c r="AD53" s="15">
        <v>210907</v>
      </c>
      <c r="AE53" s="9" t="s">
        <v>89</v>
      </c>
      <c r="AF53" s="16" t="s">
        <v>38</v>
      </c>
      <c r="AG53" s="28" t="str">
        <f t="shared" si="0"/>
        <v>Mall Of Arabia</v>
      </c>
      <c r="AH53" s="29" t="str">
        <f t="shared" si="1"/>
        <v>Feb-2026</v>
      </c>
    </row>
    <row r="54" spans="1:34" ht="15">
      <c r="A54" s="8">
        <v>46090</v>
      </c>
      <c r="B54" s="9" t="s">
        <v>90</v>
      </c>
      <c r="C54" s="9" t="s">
        <v>33</v>
      </c>
      <c r="D54" s="9" t="s">
        <v>173</v>
      </c>
      <c r="E54" s="9" t="s">
        <v>35</v>
      </c>
      <c r="F54" s="9" t="s">
        <v>35</v>
      </c>
      <c r="G54" s="9" t="s">
        <v>92</v>
      </c>
      <c r="H54" s="10" t="s">
        <v>174</v>
      </c>
      <c r="I54" s="9">
        <v>-2105145979</v>
      </c>
      <c r="J54" s="11">
        <v>2602265278315660</v>
      </c>
      <c r="K54" s="12">
        <v>46079.638969907406</v>
      </c>
      <c r="L54" s="10">
        <v>3580</v>
      </c>
      <c r="M54" s="10">
        <v>0</v>
      </c>
      <c r="N54" s="10">
        <v>3580</v>
      </c>
      <c r="O54" s="10">
        <v>3580</v>
      </c>
      <c r="P54" s="10">
        <v>0</v>
      </c>
      <c r="Q54" s="10">
        <v>107.4</v>
      </c>
      <c r="R54" s="10">
        <v>0</v>
      </c>
      <c r="S54" s="10">
        <v>0</v>
      </c>
      <c r="T54" s="10">
        <v>0</v>
      </c>
      <c r="U54" s="10">
        <v>3472.6</v>
      </c>
      <c r="V54" s="13">
        <v>3.0000000000000002E-2</v>
      </c>
      <c r="W54" s="13">
        <v>0</v>
      </c>
      <c r="X54" s="9">
        <v>1</v>
      </c>
      <c r="Y54" s="14" t="s">
        <v>38</v>
      </c>
      <c r="Z54" s="9" t="s">
        <v>94</v>
      </c>
      <c r="AA54" s="9" t="s">
        <v>175</v>
      </c>
      <c r="AB54" s="10" t="s">
        <v>41</v>
      </c>
      <c r="AC54" s="10" t="s">
        <v>176</v>
      </c>
      <c r="AD54" s="15">
        <v>110900</v>
      </c>
      <c r="AE54" s="9" t="s">
        <v>66</v>
      </c>
      <c r="AF54" s="16" t="s">
        <v>38</v>
      </c>
      <c r="AG54" s="28" t="str">
        <f t="shared" si="0"/>
        <v>Ecommerce</v>
      </c>
      <c r="AH54" s="29" t="str">
        <f t="shared" si="1"/>
        <v>Feb-2026</v>
      </c>
    </row>
    <row r="55" spans="1:34" ht="15">
      <c r="A55" s="8">
        <v>46090</v>
      </c>
      <c r="B55" s="9" t="s">
        <v>90</v>
      </c>
      <c r="C55" s="9" t="s">
        <v>33</v>
      </c>
      <c r="D55" s="9" t="s">
        <v>173</v>
      </c>
      <c r="E55" s="9" t="s">
        <v>35</v>
      </c>
      <c r="F55" s="9" t="s">
        <v>35</v>
      </c>
      <c r="G55" s="9" t="s">
        <v>92</v>
      </c>
      <c r="H55" s="10" t="s">
        <v>177</v>
      </c>
      <c r="I55" s="9">
        <v>-2108169508</v>
      </c>
      <c r="J55" s="11">
        <v>2502265268484050</v>
      </c>
      <c r="K55" s="12">
        <v>46078.361851851849</v>
      </c>
      <c r="L55" s="10">
        <v>2850</v>
      </c>
      <c r="M55" s="10">
        <v>0</v>
      </c>
      <c r="N55" s="10">
        <v>2850</v>
      </c>
      <c r="O55" s="10">
        <v>2850</v>
      </c>
      <c r="P55" s="10">
        <v>0</v>
      </c>
      <c r="Q55" s="10">
        <v>85.5</v>
      </c>
      <c r="R55" s="10">
        <v>0</v>
      </c>
      <c r="S55" s="10">
        <v>0</v>
      </c>
      <c r="T55" s="10">
        <v>0</v>
      </c>
      <c r="U55" s="10">
        <v>2764.5</v>
      </c>
      <c r="V55" s="13">
        <v>0.03</v>
      </c>
      <c r="W55" s="13">
        <v>0</v>
      </c>
      <c r="X55" s="9">
        <v>3</v>
      </c>
      <c r="Y55" s="14" t="s">
        <v>38</v>
      </c>
      <c r="Z55" s="9" t="s">
        <v>94</v>
      </c>
      <c r="AA55" s="9" t="s">
        <v>178</v>
      </c>
      <c r="AB55" s="10" t="s">
        <v>41</v>
      </c>
      <c r="AC55" s="10" t="s">
        <v>176</v>
      </c>
      <c r="AD55" s="15">
        <v>110900</v>
      </c>
      <c r="AE55" s="9" t="s">
        <v>66</v>
      </c>
      <c r="AF55" s="16" t="s">
        <v>38</v>
      </c>
      <c r="AG55" s="28" t="str">
        <f t="shared" si="0"/>
        <v>Ecommerce</v>
      </c>
      <c r="AH55" s="29" t="str">
        <f t="shared" si="1"/>
        <v>Feb-2026</v>
      </c>
    </row>
    <row r="56" spans="1:34" ht="15">
      <c r="A56" s="8">
        <v>46090</v>
      </c>
      <c r="B56" s="9" t="s">
        <v>90</v>
      </c>
      <c r="C56" s="9" t="s">
        <v>33</v>
      </c>
      <c r="D56" s="9" t="s">
        <v>173</v>
      </c>
      <c r="E56" s="9" t="s">
        <v>35</v>
      </c>
      <c r="F56" s="9" t="s">
        <v>35</v>
      </c>
      <c r="G56" s="9" t="s">
        <v>92</v>
      </c>
      <c r="H56" s="10" t="s">
        <v>179</v>
      </c>
      <c r="I56" s="9">
        <v>-2108025581</v>
      </c>
      <c r="J56" s="11">
        <v>2502265268959880</v>
      </c>
      <c r="K56" s="12">
        <v>46078.465266203704</v>
      </c>
      <c r="L56" s="10">
        <v>3790</v>
      </c>
      <c r="M56" s="10">
        <v>0</v>
      </c>
      <c r="N56" s="10">
        <v>3790</v>
      </c>
      <c r="O56" s="10">
        <v>3790</v>
      </c>
      <c r="P56" s="10">
        <v>0</v>
      </c>
      <c r="Q56" s="10">
        <v>113.7</v>
      </c>
      <c r="R56" s="10">
        <v>0</v>
      </c>
      <c r="S56" s="10">
        <v>0</v>
      </c>
      <c r="T56" s="10">
        <v>0</v>
      </c>
      <c r="U56" s="10">
        <v>3676.3</v>
      </c>
      <c r="V56" s="13">
        <v>3.0000000000000002E-2</v>
      </c>
      <c r="W56" s="13">
        <v>0</v>
      </c>
      <c r="X56" s="9">
        <v>3</v>
      </c>
      <c r="Y56" s="14" t="s">
        <v>38</v>
      </c>
      <c r="Z56" s="9" t="s">
        <v>94</v>
      </c>
      <c r="AA56" s="9" t="s">
        <v>180</v>
      </c>
      <c r="AB56" s="10" t="s">
        <v>41</v>
      </c>
      <c r="AC56" s="10" t="s">
        <v>176</v>
      </c>
      <c r="AD56" s="15">
        <v>110900</v>
      </c>
      <c r="AE56" s="9" t="s">
        <v>66</v>
      </c>
      <c r="AF56" s="16" t="s">
        <v>38</v>
      </c>
      <c r="AG56" s="28" t="str">
        <f t="shared" si="0"/>
        <v>Ecommerce</v>
      </c>
      <c r="AH56" s="29" t="str">
        <f t="shared" si="1"/>
        <v>Feb-2026</v>
      </c>
    </row>
    <row r="57" spans="1:34" ht="15">
      <c r="A57" s="8">
        <v>46090</v>
      </c>
      <c r="B57" s="9" t="s">
        <v>90</v>
      </c>
      <c r="C57" s="9" t="s">
        <v>181</v>
      </c>
      <c r="D57" s="9" t="s">
        <v>173</v>
      </c>
      <c r="E57" s="9" t="s">
        <v>35</v>
      </c>
      <c r="F57" s="9" t="s">
        <v>35</v>
      </c>
      <c r="G57" s="9" t="s">
        <v>92</v>
      </c>
      <c r="H57" s="10" t="s">
        <v>38</v>
      </c>
      <c r="I57" s="9" t="s">
        <v>38</v>
      </c>
      <c r="J57" s="11" t="s">
        <v>38</v>
      </c>
      <c r="K57" s="12" t="s">
        <v>38</v>
      </c>
      <c r="L57" s="10">
        <v>0</v>
      </c>
      <c r="M57" s="10">
        <v>0</v>
      </c>
      <c r="N57" s="10">
        <v>0</v>
      </c>
      <c r="O57" s="10">
        <v>0</v>
      </c>
      <c r="P57" s="10">
        <v>0</v>
      </c>
      <c r="Q57" s="10">
        <v>0</v>
      </c>
      <c r="R57" s="10">
        <v>0</v>
      </c>
      <c r="S57" s="10">
        <v>0</v>
      </c>
      <c r="T57" s="10">
        <v>0</v>
      </c>
      <c r="U57" s="10">
        <v>-11547.849999999999</v>
      </c>
      <c r="V57" s="13" t="s">
        <v>38</v>
      </c>
      <c r="W57" s="13" t="s">
        <v>38</v>
      </c>
      <c r="X57" s="9" t="s">
        <v>38</v>
      </c>
      <c r="Y57" s="14" t="s">
        <v>38</v>
      </c>
      <c r="Z57" s="9" t="s">
        <v>38</v>
      </c>
      <c r="AA57" s="9" t="s">
        <v>38</v>
      </c>
      <c r="AB57" s="10" t="s">
        <v>41</v>
      </c>
      <c r="AC57" s="10" t="s">
        <v>176</v>
      </c>
      <c r="AD57" s="15">
        <v>110900</v>
      </c>
      <c r="AE57" s="9" t="s">
        <v>66</v>
      </c>
      <c r="AF57" s="16" t="s">
        <v>38</v>
      </c>
      <c r="AG57" s="28" t="str">
        <f t="shared" si="0"/>
        <v>Ecommerce</v>
      </c>
      <c r="AH57" s="29" t="str">
        <f t="shared" si="1"/>
        <v>-</v>
      </c>
    </row>
    <row r="58" spans="1:34" ht="15">
      <c r="A58" s="8">
        <v>46096</v>
      </c>
      <c r="B58" s="9" t="s">
        <v>60</v>
      </c>
      <c r="C58" s="9" t="s">
        <v>33</v>
      </c>
      <c r="D58" s="9" t="s">
        <v>182</v>
      </c>
      <c r="E58" s="9" t="s">
        <v>35</v>
      </c>
      <c r="F58" s="9" t="s">
        <v>35</v>
      </c>
      <c r="G58" s="9" t="s">
        <v>62</v>
      </c>
      <c r="H58" s="10" t="s">
        <v>183</v>
      </c>
      <c r="I58" s="9">
        <v>-2067081196</v>
      </c>
      <c r="J58" s="11">
        <v>503266156665</v>
      </c>
      <c r="K58" s="12">
        <v>46086.633981481478</v>
      </c>
      <c r="L58" s="10">
        <v>3000</v>
      </c>
      <c r="M58" s="10">
        <v>0</v>
      </c>
      <c r="N58" s="10">
        <v>3000</v>
      </c>
      <c r="O58" s="10">
        <v>3000</v>
      </c>
      <c r="P58" s="10">
        <v>0</v>
      </c>
      <c r="Q58" s="10">
        <v>90</v>
      </c>
      <c r="R58" s="10">
        <v>0</v>
      </c>
      <c r="S58" s="10">
        <v>0</v>
      </c>
      <c r="T58" s="10">
        <v>0</v>
      </c>
      <c r="U58" s="10">
        <v>2910</v>
      </c>
      <c r="V58" s="13">
        <v>0.03</v>
      </c>
      <c r="W58" s="13">
        <v>0</v>
      </c>
      <c r="X58" s="9">
        <v>3</v>
      </c>
      <c r="Y58" s="14" t="s">
        <v>38</v>
      </c>
      <c r="Z58" s="9" t="s">
        <v>64</v>
      </c>
      <c r="AA58" s="9" t="s">
        <v>184</v>
      </c>
      <c r="AB58" s="10" t="s">
        <v>41</v>
      </c>
      <c r="AC58" s="10" t="s">
        <v>185</v>
      </c>
      <c r="AD58" s="15">
        <v>210922</v>
      </c>
      <c r="AE58" s="9" t="s">
        <v>66</v>
      </c>
      <c r="AF58" s="16" t="s">
        <v>38</v>
      </c>
      <c r="AG58" s="28" t="str">
        <f t="shared" si="0"/>
        <v>CFC</v>
      </c>
      <c r="AH58" s="29" t="str">
        <f t="shared" si="1"/>
        <v>Mar-2026</v>
      </c>
    </row>
    <row r="59" spans="1:34" ht="15">
      <c r="A59" s="8">
        <v>46096</v>
      </c>
      <c r="B59" s="9" t="s">
        <v>90</v>
      </c>
      <c r="C59" s="9" t="s">
        <v>33</v>
      </c>
      <c r="D59" s="9" t="s">
        <v>186</v>
      </c>
      <c r="E59" s="9" t="s">
        <v>35</v>
      </c>
      <c r="F59" s="9" t="s">
        <v>35</v>
      </c>
      <c r="G59" s="9" t="s">
        <v>92</v>
      </c>
      <c r="H59" s="10" t="s">
        <v>187</v>
      </c>
      <c r="I59" s="9">
        <v>-2094004943</v>
      </c>
      <c r="J59" s="11">
        <v>103265302587445</v>
      </c>
      <c r="K59" s="12">
        <v>46082.759525462963</v>
      </c>
      <c r="L59" s="10">
        <v>7700</v>
      </c>
      <c r="M59" s="10">
        <v>0</v>
      </c>
      <c r="N59" s="10">
        <v>7700</v>
      </c>
      <c r="O59" s="10">
        <v>7700</v>
      </c>
      <c r="P59" s="10">
        <v>0</v>
      </c>
      <c r="Q59" s="10">
        <v>231</v>
      </c>
      <c r="R59" s="10">
        <v>0</v>
      </c>
      <c r="S59" s="10">
        <v>0</v>
      </c>
      <c r="T59" s="10">
        <v>0</v>
      </c>
      <c r="U59" s="10">
        <v>7469</v>
      </c>
      <c r="V59" s="13">
        <v>0.03</v>
      </c>
      <c r="W59" s="13">
        <v>0</v>
      </c>
      <c r="X59" s="9">
        <v>36</v>
      </c>
      <c r="Y59" s="14" t="s">
        <v>38</v>
      </c>
      <c r="Z59" s="9" t="s">
        <v>94</v>
      </c>
      <c r="AA59" s="9" t="s">
        <v>188</v>
      </c>
      <c r="AB59" s="10" t="s">
        <v>41</v>
      </c>
      <c r="AC59" s="10" t="s">
        <v>185</v>
      </c>
      <c r="AD59" s="15">
        <v>210922</v>
      </c>
      <c r="AE59" s="9" t="s">
        <v>66</v>
      </c>
      <c r="AF59" s="16" t="s">
        <v>38</v>
      </c>
      <c r="AG59" s="28" t="str">
        <f t="shared" si="0"/>
        <v>Ecommerce</v>
      </c>
      <c r="AH59" s="29" t="str">
        <f t="shared" si="1"/>
        <v>Mar-2026</v>
      </c>
    </row>
    <row r="60" spans="1:34" ht="15">
      <c r="A60" s="8">
        <v>46096</v>
      </c>
      <c r="B60" s="9" t="s">
        <v>90</v>
      </c>
      <c r="C60" s="9" t="s">
        <v>181</v>
      </c>
      <c r="D60" s="9" t="s">
        <v>186</v>
      </c>
      <c r="E60" s="9" t="s">
        <v>35</v>
      </c>
      <c r="F60" s="9" t="s">
        <v>35</v>
      </c>
      <c r="G60" s="9" t="s">
        <v>92</v>
      </c>
      <c r="H60" s="10" t="s">
        <v>38</v>
      </c>
      <c r="I60" s="9" t="s">
        <v>38</v>
      </c>
      <c r="J60" s="11" t="s">
        <v>38</v>
      </c>
      <c r="K60" s="12" t="s">
        <v>38</v>
      </c>
      <c r="L60" s="10">
        <v>0</v>
      </c>
      <c r="M60" s="10">
        <v>0</v>
      </c>
      <c r="N60" s="10">
        <v>0</v>
      </c>
      <c r="O60" s="10">
        <v>0</v>
      </c>
      <c r="P60" s="10">
        <v>0</v>
      </c>
      <c r="Q60" s="10">
        <v>0</v>
      </c>
      <c r="R60" s="10">
        <v>0</v>
      </c>
      <c r="S60" s="10">
        <v>0</v>
      </c>
      <c r="T60" s="10">
        <v>0</v>
      </c>
      <c r="U60" s="10">
        <v>-1634.4499999999971</v>
      </c>
      <c r="V60" s="13" t="s">
        <v>38</v>
      </c>
      <c r="W60" s="13" t="s">
        <v>38</v>
      </c>
      <c r="X60" s="9" t="s">
        <v>38</v>
      </c>
      <c r="Y60" s="14" t="s">
        <v>38</v>
      </c>
      <c r="Z60" s="9" t="s">
        <v>38</v>
      </c>
      <c r="AA60" s="9" t="s">
        <v>38</v>
      </c>
      <c r="AB60" s="10" t="s">
        <v>41</v>
      </c>
      <c r="AC60" s="10" t="s">
        <v>185</v>
      </c>
      <c r="AD60" s="15">
        <v>210922</v>
      </c>
      <c r="AE60" s="9" t="s">
        <v>66</v>
      </c>
      <c r="AF60" s="16" t="s">
        <v>38</v>
      </c>
      <c r="AG60" s="28" t="str">
        <f t="shared" si="0"/>
        <v>Ecommerce</v>
      </c>
      <c r="AH60" s="29" t="str">
        <f t="shared" si="1"/>
        <v>-</v>
      </c>
    </row>
    <row r="61" spans="1:34" ht="15">
      <c r="A61" s="8">
        <v>46105</v>
      </c>
      <c r="B61" s="9" t="s">
        <v>90</v>
      </c>
      <c r="C61" s="9" t="s">
        <v>33</v>
      </c>
      <c r="D61" s="9" t="s">
        <v>189</v>
      </c>
      <c r="E61" s="9" t="s">
        <v>35</v>
      </c>
      <c r="F61" s="9" t="s">
        <v>35</v>
      </c>
      <c r="G61" s="9" t="s">
        <v>92</v>
      </c>
      <c r="H61" s="10" t="s">
        <v>190</v>
      </c>
      <c r="I61" s="9">
        <v>-2050238214</v>
      </c>
      <c r="J61" s="11">
        <v>1403265422384460</v>
      </c>
      <c r="K61" s="12">
        <v>46094</v>
      </c>
      <c r="L61" s="10">
        <v>28050</v>
      </c>
      <c r="M61" s="10">
        <v>0</v>
      </c>
      <c r="N61" s="10">
        <v>28050</v>
      </c>
      <c r="O61" s="10">
        <v>28050</v>
      </c>
      <c r="P61" s="10">
        <v>0</v>
      </c>
      <c r="Q61" s="10">
        <v>841.5</v>
      </c>
      <c r="R61" s="10">
        <v>0</v>
      </c>
      <c r="S61" s="10">
        <v>0</v>
      </c>
      <c r="T61" s="10">
        <v>0</v>
      </c>
      <c r="U61" s="10">
        <v>27208.5</v>
      </c>
      <c r="V61" s="13">
        <v>0.03</v>
      </c>
      <c r="W61" s="13">
        <v>0</v>
      </c>
      <c r="X61" s="9">
        <v>9</v>
      </c>
      <c r="Y61" s="14" t="s">
        <v>38</v>
      </c>
      <c r="Z61" s="9" t="s">
        <v>94</v>
      </c>
      <c r="AA61" s="9" t="s">
        <v>191</v>
      </c>
      <c r="AB61" s="10" t="s">
        <v>41</v>
      </c>
      <c r="AC61" s="10" t="s">
        <v>192</v>
      </c>
      <c r="AD61" s="15">
        <v>210922</v>
      </c>
      <c r="AE61" s="9" t="s">
        <v>66</v>
      </c>
      <c r="AF61" s="16" t="s">
        <v>38</v>
      </c>
      <c r="AG61" s="28" t="str">
        <f t="shared" si="0"/>
        <v>Ecommerce</v>
      </c>
      <c r="AH61" s="29" t="str">
        <f t="shared" si="1"/>
        <v>Mar-2026</v>
      </c>
    </row>
    <row r="62" spans="1:34" ht="15">
      <c r="A62" s="8">
        <v>46105</v>
      </c>
      <c r="B62" s="9" t="s">
        <v>72</v>
      </c>
      <c r="C62" s="9" t="s">
        <v>33</v>
      </c>
      <c r="D62" s="9" t="s">
        <v>193</v>
      </c>
      <c r="E62" s="9" t="s">
        <v>35</v>
      </c>
      <c r="F62" s="9" t="s">
        <v>35</v>
      </c>
      <c r="G62" s="9" t="s">
        <v>74</v>
      </c>
      <c r="H62" s="10" t="s">
        <v>194</v>
      </c>
      <c r="I62" s="9">
        <v>-2051881767</v>
      </c>
      <c r="J62" s="11">
        <v>1303266181549</v>
      </c>
      <c r="K62" s="12">
        <v>46094.927615740744</v>
      </c>
      <c r="L62" s="10">
        <v>17590</v>
      </c>
      <c r="M62" s="10">
        <v>0</v>
      </c>
      <c r="N62" s="10">
        <v>17590</v>
      </c>
      <c r="O62" s="10">
        <v>17590</v>
      </c>
      <c r="P62" s="10">
        <v>528</v>
      </c>
      <c r="Q62" s="10">
        <v>527.70000000000005</v>
      </c>
      <c r="R62" s="10">
        <v>0</v>
      </c>
      <c r="S62" s="10">
        <v>0</v>
      </c>
      <c r="T62" s="10">
        <v>0</v>
      </c>
      <c r="U62" s="10">
        <v>16534.3</v>
      </c>
      <c r="V62" s="13">
        <v>3.0000000000000002E-2</v>
      </c>
      <c r="W62" s="13">
        <v>3.0017055144968732E-2</v>
      </c>
      <c r="X62" s="9">
        <v>12</v>
      </c>
      <c r="Y62" s="14" t="s">
        <v>38</v>
      </c>
      <c r="Z62" s="9" t="s">
        <v>76</v>
      </c>
      <c r="AA62" s="9" t="s">
        <v>195</v>
      </c>
      <c r="AB62" s="10" t="s">
        <v>41</v>
      </c>
      <c r="AC62" s="10" t="s">
        <v>192</v>
      </c>
      <c r="AD62" s="15">
        <v>210922</v>
      </c>
      <c r="AE62" s="9" t="s">
        <v>66</v>
      </c>
      <c r="AF62" s="16" t="s">
        <v>38</v>
      </c>
      <c r="AG62" s="28" t="str">
        <f t="shared" si="0"/>
        <v>City Stars</v>
      </c>
      <c r="AH62" s="29" t="str">
        <f t="shared" si="1"/>
        <v>Mar-2026</v>
      </c>
    </row>
    <row r="63" spans="1:34" ht="15">
      <c r="A63" s="8">
        <v>46105</v>
      </c>
      <c r="B63" s="9" t="s">
        <v>90</v>
      </c>
      <c r="C63" s="9" t="s">
        <v>33</v>
      </c>
      <c r="D63" s="9" t="s">
        <v>189</v>
      </c>
      <c r="E63" s="9" t="s">
        <v>35</v>
      </c>
      <c r="F63" s="9" t="s">
        <v>35</v>
      </c>
      <c r="G63" s="9" t="s">
        <v>92</v>
      </c>
      <c r="H63" s="10" t="s">
        <v>196</v>
      </c>
      <c r="I63" s="9">
        <v>-2057097937</v>
      </c>
      <c r="J63" s="11">
        <v>1103265395066560</v>
      </c>
      <c r="K63" s="12">
        <v>46092.667939814812</v>
      </c>
      <c r="L63" s="10">
        <v>4615</v>
      </c>
      <c r="M63" s="10">
        <v>0</v>
      </c>
      <c r="N63" s="10">
        <v>4615</v>
      </c>
      <c r="O63" s="10">
        <v>4615</v>
      </c>
      <c r="P63" s="10">
        <v>0</v>
      </c>
      <c r="Q63" s="10">
        <v>138.44999999999999</v>
      </c>
      <c r="R63" s="10">
        <v>0</v>
      </c>
      <c r="S63" s="10">
        <v>0</v>
      </c>
      <c r="T63" s="10">
        <v>0</v>
      </c>
      <c r="U63" s="10">
        <v>4476.55</v>
      </c>
      <c r="V63" s="13">
        <v>0.03</v>
      </c>
      <c r="W63" s="13">
        <v>0</v>
      </c>
      <c r="X63" s="9">
        <v>3</v>
      </c>
      <c r="Y63" s="14" t="s">
        <v>38</v>
      </c>
      <c r="Z63" s="9" t="s">
        <v>94</v>
      </c>
      <c r="AA63" s="9" t="s">
        <v>197</v>
      </c>
      <c r="AB63" s="10" t="s">
        <v>41</v>
      </c>
      <c r="AC63" s="10" t="s">
        <v>192</v>
      </c>
      <c r="AD63" s="15">
        <v>210922</v>
      </c>
      <c r="AE63" s="9" t="s">
        <v>66</v>
      </c>
      <c r="AF63" s="16" t="s">
        <v>38</v>
      </c>
      <c r="AG63" s="28" t="str">
        <f t="shared" si="0"/>
        <v>Ecommerce</v>
      </c>
      <c r="AH63" s="29" t="str">
        <f t="shared" si="1"/>
        <v>Mar-2026</v>
      </c>
    </row>
    <row r="64" spans="1:34" ht="15">
      <c r="A64" s="8">
        <v>46105</v>
      </c>
      <c r="B64" s="9" t="s">
        <v>78</v>
      </c>
      <c r="C64" s="9" t="s">
        <v>33</v>
      </c>
      <c r="D64" s="9" t="s">
        <v>198</v>
      </c>
      <c r="E64" s="9" t="s">
        <v>35</v>
      </c>
      <c r="F64" s="9" t="s">
        <v>35</v>
      </c>
      <c r="G64" s="9" t="s">
        <v>80</v>
      </c>
      <c r="H64" s="10" t="s">
        <v>199</v>
      </c>
      <c r="I64" s="9">
        <v>-2060684601</v>
      </c>
      <c r="J64" s="11">
        <v>803266166873</v>
      </c>
      <c r="K64" s="12">
        <v>46089.905266203707</v>
      </c>
      <c r="L64" s="10">
        <v>17765</v>
      </c>
      <c r="M64" s="10">
        <v>0</v>
      </c>
      <c r="N64" s="10">
        <v>17765</v>
      </c>
      <c r="O64" s="10">
        <v>17765</v>
      </c>
      <c r="P64" s="10">
        <v>0</v>
      </c>
      <c r="Q64" s="10">
        <v>532.95000000000005</v>
      </c>
      <c r="R64" s="10">
        <v>0</v>
      </c>
      <c r="S64" s="10">
        <v>0</v>
      </c>
      <c r="T64" s="10">
        <v>0</v>
      </c>
      <c r="U64" s="10">
        <v>17232.05</v>
      </c>
      <c r="V64" s="13">
        <v>3.0000000000000002E-2</v>
      </c>
      <c r="W64" s="13">
        <v>0</v>
      </c>
      <c r="X64" s="9">
        <v>1</v>
      </c>
      <c r="Y64" s="14" t="s">
        <v>38</v>
      </c>
      <c r="Z64" s="9" t="s">
        <v>82</v>
      </c>
      <c r="AA64" s="9" t="s">
        <v>200</v>
      </c>
      <c r="AB64" s="10" t="s">
        <v>41</v>
      </c>
      <c r="AC64" s="10" t="s">
        <v>192</v>
      </c>
      <c r="AD64" s="15">
        <v>210922</v>
      </c>
      <c r="AE64" s="9" t="s">
        <v>66</v>
      </c>
      <c r="AF64" s="16" t="s">
        <v>38</v>
      </c>
      <c r="AG64" s="28" t="str">
        <f t="shared" si="0"/>
        <v>City Center Almaza</v>
      </c>
      <c r="AH64" s="29" t="str">
        <f t="shared" si="1"/>
        <v>Mar-2026</v>
      </c>
    </row>
    <row r="65" spans="1:34" ht="15">
      <c r="A65" s="8">
        <v>46105</v>
      </c>
      <c r="B65" s="9" t="s">
        <v>78</v>
      </c>
      <c r="C65" s="9" t="s">
        <v>33</v>
      </c>
      <c r="D65" s="9" t="s">
        <v>198</v>
      </c>
      <c r="E65" s="9" t="s">
        <v>35</v>
      </c>
      <c r="F65" s="9" t="s">
        <v>35</v>
      </c>
      <c r="G65" s="9" t="s">
        <v>80</v>
      </c>
      <c r="H65" s="10" t="s">
        <v>201</v>
      </c>
      <c r="I65" s="9">
        <v>-2059583692</v>
      </c>
      <c r="J65" s="11">
        <v>903266169073</v>
      </c>
      <c r="K65" s="12">
        <v>46090.844143518516</v>
      </c>
      <c r="L65" s="10">
        <v>6425</v>
      </c>
      <c r="M65" s="10">
        <v>0</v>
      </c>
      <c r="N65" s="10">
        <v>6425</v>
      </c>
      <c r="O65" s="10">
        <v>6425</v>
      </c>
      <c r="P65" s="10">
        <v>193</v>
      </c>
      <c r="Q65" s="10">
        <v>192.75</v>
      </c>
      <c r="R65" s="10">
        <v>0</v>
      </c>
      <c r="S65" s="10">
        <v>0</v>
      </c>
      <c r="T65" s="10">
        <v>0</v>
      </c>
      <c r="U65" s="10">
        <v>6039.25</v>
      </c>
      <c r="V65" s="13">
        <v>0.03</v>
      </c>
      <c r="W65" s="13">
        <v>3.0038910505836576E-2</v>
      </c>
      <c r="X65" s="9">
        <v>36</v>
      </c>
      <c r="Y65" s="14" t="s">
        <v>38</v>
      </c>
      <c r="Z65" s="9" t="s">
        <v>82</v>
      </c>
      <c r="AA65" s="9" t="s">
        <v>202</v>
      </c>
      <c r="AB65" s="10" t="s">
        <v>41</v>
      </c>
      <c r="AC65" s="10" t="s">
        <v>192</v>
      </c>
      <c r="AD65" s="15">
        <v>210922</v>
      </c>
      <c r="AE65" s="9" t="s">
        <v>66</v>
      </c>
      <c r="AF65" s="16" t="s">
        <v>38</v>
      </c>
      <c r="AG65" s="28" t="str">
        <f t="shared" si="0"/>
        <v>City Center Almaza</v>
      </c>
      <c r="AH65" s="29" t="str">
        <f t="shared" si="1"/>
        <v>Mar-2026</v>
      </c>
    </row>
    <row r="66" spans="1:34" ht="15">
      <c r="A66" s="8">
        <v>46105</v>
      </c>
      <c r="B66" s="9" t="s">
        <v>90</v>
      </c>
      <c r="C66" s="9" t="s">
        <v>33</v>
      </c>
      <c r="D66" s="9" t="s">
        <v>189</v>
      </c>
      <c r="E66" s="9" t="s">
        <v>35</v>
      </c>
      <c r="F66" s="9" t="s">
        <v>35</v>
      </c>
      <c r="G66" s="9" t="s">
        <v>92</v>
      </c>
      <c r="H66" s="10" t="s">
        <v>203</v>
      </c>
      <c r="I66" s="9">
        <v>-2058472046</v>
      </c>
      <c r="J66" s="11">
        <v>1003265385694160</v>
      </c>
      <c r="K66" s="12">
        <v>46091.693611111114</v>
      </c>
      <c r="L66" s="10">
        <v>4500</v>
      </c>
      <c r="M66" s="10">
        <v>0</v>
      </c>
      <c r="N66" s="10">
        <v>4500</v>
      </c>
      <c r="O66" s="10">
        <v>4500</v>
      </c>
      <c r="P66" s="10">
        <v>0</v>
      </c>
      <c r="Q66" s="10">
        <v>135</v>
      </c>
      <c r="R66" s="10">
        <v>0</v>
      </c>
      <c r="S66" s="10">
        <v>0</v>
      </c>
      <c r="T66" s="10">
        <v>0</v>
      </c>
      <c r="U66" s="10">
        <v>4365</v>
      </c>
      <c r="V66" s="13">
        <v>0.03</v>
      </c>
      <c r="W66" s="13">
        <v>0</v>
      </c>
      <c r="X66" s="9">
        <v>3</v>
      </c>
      <c r="Y66" s="14" t="s">
        <v>38</v>
      </c>
      <c r="Z66" s="9" t="s">
        <v>94</v>
      </c>
      <c r="AA66" s="9" t="s">
        <v>204</v>
      </c>
      <c r="AB66" s="10" t="s">
        <v>41</v>
      </c>
      <c r="AC66" s="10" t="s">
        <v>192</v>
      </c>
      <c r="AD66" s="15">
        <v>210922</v>
      </c>
      <c r="AE66" s="9" t="s">
        <v>66</v>
      </c>
      <c r="AF66" s="16" t="s">
        <v>38</v>
      </c>
      <c r="AG66" s="28" t="str">
        <f t="shared" si="0"/>
        <v>Ecommerce</v>
      </c>
      <c r="AH66" s="29" t="str">
        <f t="shared" si="1"/>
        <v>Mar-2026</v>
      </c>
    </row>
    <row r="67" spans="1:34" ht="15">
      <c r="A67" s="8">
        <v>46107</v>
      </c>
      <c r="B67" s="9" t="s">
        <v>78</v>
      </c>
      <c r="C67" s="9" t="s">
        <v>33</v>
      </c>
      <c r="D67" s="9" t="s">
        <v>205</v>
      </c>
      <c r="E67" s="9" t="s">
        <v>35</v>
      </c>
      <c r="F67" s="9" t="s">
        <v>35</v>
      </c>
      <c r="G67" s="9" t="s">
        <v>80</v>
      </c>
      <c r="H67" s="10" t="s">
        <v>206</v>
      </c>
      <c r="I67" s="9">
        <v>-2045918979</v>
      </c>
      <c r="J67" s="11">
        <v>1603266190505</v>
      </c>
      <c r="K67" s="12">
        <v>46097.685624999998</v>
      </c>
      <c r="L67" s="10">
        <v>5670</v>
      </c>
      <c r="M67" s="10">
        <v>0</v>
      </c>
      <c r="N67" s="10">
        <v>5670</v>
      </c>
      <c r="O67" s="10">
        <v>5670</v>
      </c>
      <c r="P67" s="10">
        <v>0</v>
      </c>
      <c r="Q67" s="10">
        <v>170.1</v>
      </c>
      <c r="R67" s="10">
        <v>0</v>
      </c>
      <c r="S67" s="10">
        <v>0</v>
      </c>
      <c r="T67" s="10">
        <v>0</v>
      </c>
      <c r="U67" s="10">
        <v>5499.9</v>
      </c>
      <c r="V67" s="13">
        <v>0.03</v>
      </c>
      <c r="W67" s="13">
        <v>0</v>
      </c>
      <c r="X67" s="9">
        <v>3</v>
      </c>
      <c r="Y67" s="14" t="s">
        <v>38</v>
      </c>
      <c r="Z67" s="9" t="s">
        <v>82</v>
      </c>
      <c r="AA67" s="9" t="s">
        <v>207</v>
      </c>
      <c r="AB67" s="10" t="s">
        <v>41</v>
      </c>
      <c r="AC67" s="10" t="s">
        <v>208</v>
      </c>
      <c r="AD67" s="15">
        <v>210915</v>
      </c>
      <c r="AE67" s="9" t="s">
        <v>66</v>
      </c>
      <c r="AF67" s="16" t="s">
        <v>38</v>
      </c>
      <c r="AG67" s="28" t="str">
        <f t="shared" ref="AG67:AG80" si="2">IF(ISNUMBER(SEARCH("Mall Of Arabia",B67)),"Mall Of Arabia",IF(ISNUMBER(SEARCH("Alexandria",B67)),"City Center Alexandria",IF(ISNUMBER(SEARCH("CFC",B67)),"CFC",IF(ISNUMBER(SEARCH("City Stars",B67)),"City Stars",IF(ISNUMBER(SEARCH("Almaza",B67)),"City Center Almaza",IF(ISNUMBER(SEARCH("Ecommerce",B67)),"Ecommerce","Other"))))))</f>
        <v>City Center Almaza</v>
      </c>
      <c r="AH67" s="29" t="str">
        <f t="shared" ref="AH67:AH80" si="3">TEXT(K67,"MMM-YYYY")</f>
        <v>Mar-2026</v>
      </c>
    </row>
    <row r="68" spans="1:34" ht="15">
      <c r="A68" s="8">
        <v>46107</v>
      </c>
      <c r="B68" s="9" t="s">
        <v>90</v>
      </c>
      <c r="C68" s="9" t="s">
        <v>33</v>
      </c>
      <c r="D68" s="9" t="s">
        <v>209</v>
      </c>
      <c r="E68" s="9" t="s">
        <v>35</v>
      </c>
      <c r="F68" s="9" t="s">
        <v>35</v>
      </c>
      <c r="G68" s="9" t="s">
        <v>92</v>
      </c>
      <c r="H68" s="10" t="s">
        <v>210</v>
      </c>
      <c r="I68" s="9">
        <v>-2048342226</v>
      </c>
      <c r="J68" s="11">
        <v>1503265432365070</v>
      </c>
      <c r="K68" s="12">
        <v>46096.46193287037</v>
      </c>
      <c r="L68" s="10">
        <v>8000</v>
      </c>
      <c r="M68" s="10">
        <v>0</v>
      </c>
      <c r="N68" s="10">
        <v>8000</v>
      </c>
      <c r="O68" s="10">
        <v>8000</v>
      </c>
      <c r="P68" s="10">
        <v>0</v>
      </c>
      <c r="Q68" s="10">
        <v>240</v>
      </c>
      <c r="R68" s="10">
        <v>0</v>
      </c>
      <c r="S68" s="10">
        <v>0</v>
      </c>
      <c r="T68" s="10">
        <v>0</v>
      </c>
      <c r="U68" s="10">
        <v>7760</v>
      </c>
      <c r="V68" s="13">
        <v>0.03</v>
      </c>
      <c r="W68" s="13">
        <v>0</v>
      </c>
      <c r="X68" s="9">
        <v>6</v>
      </c>
      <c r="Y68" s="14" t="s">
        <v>38</v>
      </c>
      <c r="Z68" s="9" t="s">
        <v>94</v>
      </c>
      <c r="AA68" s="9" t="s">
        <v>211</v>
      </c>
      <c r="AB68" s="10" t="s">
        <v>41</v>
      </c>
      <c r="AC68" s="10" t="s">
        <v>208</v>
      </c>
      <c r="AD68" s="15">
        <v>210915</v>
      </c>
      <c r="AE68" s="9" t="s">
        <v>66</v>
      </c>
      <c r="AF68" s="16" t="s">
        <v>38</v>
      </c>
      <c r="AG68" s="28" t="str">
        <f t="shared" si="2"/>
        <v>Ecommerce</v>
      </c>
      <c r="AH68" s="29" t="str">
        <f t="shared" si="3"/>
        <v>Mar-2026</v>
      </c>
    </row>
    <row r="69" spans="1:34" ht="15">
      <c r="A69" s="8">
        <v>46107</v>
      </c>
      <c r="B69" s="9" t="s">
        <v>60</v>
      </c>
      <c r="C69" s="9" t="s">
        <v>33</v>
      </c>
      <c r="D69" s="9" t="s">
        <v>212</v>
      </c>
      <c r="E69" s="9" t="s">
        <v>35</v>
      </c>
      <c r="F69" s="9" t="s">
        <v>35</v>
      </c>
      <c r="G69" s="9" t="s">
        <v>62</v>
      </c>
      <c r="H69" s="10" t="s">
        <v>213</v>
      </c>
      <c r="I69" s="9">
        <v>-2039199709</v>
      </c>
      <c r="J69" s="11">
        <v>2003266209751</v>
      </c>
      <c r="K69" s="12">
        <v>46101.917233796295</v>
      </c>
      <c r="L69" s="10">
        <v>2295</v>
      </c>
      <c r="M69" s="10">
        <v>0</v>
      </c>
      <c r="N69" s="10">
        <v>2295</v>
      </c>
      <c r="O69" s="10">
        <v>2295</v>
      </c>
      <c r="P69" s="10">
        <v>0</v>
      </c>
      <c r="Q69" s="10">
        <v>68.849999999999994</v>
      </c>
      <c r="R69" s="10">
        <v>0</v>
      </c>
      <c r="S69" s="10">
        <v>0</v>
      </c>
      <c r="T69" s="10">
        <v>0</v>
      </c>
      <c r="U69" s="10">
        <v>2226.15</v>
      </c>
      <c r="V69" s="13">
        <v>0.03</v>
      </c>
      <c r="W69" s="13">
        <v>0</v>
      </c>
      <c r="X69" s="9">
        <v>6</v>
      </c>
      <c r="Y69" s="14" t="s">
        <v>38</v>
      </c>
      <c r="Z69" s="9" t="s">
        <v>64</v>
      </c>
      <c r="AA69" s="9" t="s">
        <v>214</v>
      </c>
      <c r="AB69" s="10" t="s">
        <v>41</v>
      </c>
      <c r="AC69" s="10" t="s">
        <v>208</v>
      </c>
      <c r="AD69" s="15">
        <v>210915</v>
      </c>
      <c r="AE69" s="9" t="s">
        <v>66</v>
      </c>
      <c r="AF69" s="16" t="s">
        <v>38</v>
      </c>
      <c r="AG69" s="28" t="str">
        <f t="shared" si="2"/>
        <v>CFC</v>
      </c>
      <c r="AH69" s="29" t="str">
        <f t="shared" si="3"/>
        <v>Mar-2026</v>
      </c>
    </row>
    <row r="70" spans="1:34" ht="15">
      <c r="A70" s="8">
        <v>46107</v>
      </c>
      <c r="B70" s="9" t="s">
        <v>78</v>
      </c>
      <c r="C70" s="9" t="s">
        <v>33</v>
      </c>
      <c r="D70" s="9" t="s">
        <v>205</v>
      </c>
      <c r="E70" s="9" t="s">
        <v>35</v>
      </c>
      <c r="F70" s="9" t="s">
        <v>35</v>
      </c>
      <c r="G70" s="9" t="s">
        <v>80</v>
      </c>
      <c r="H70" s="10" t="s">
        <v>215</v>
      </c>
      <c r="I70" s="9">
        <v>-2042401213</v>
      </c>
      <c r="J70" s="11">
        <v>1803266197981</v>
      </c>
      <c r="K70" s="12">
        <v>46099.553356481483</v>
      </c>
      <c r="L70" s="10">
        <v>3230</v>
      </c>
      <c r="M70" s="10">
        <v>0</v>
      </c>
      <c r="N70" s="10">
        <v>3230</v>
      </c>
      <c r="O70" s="10">
        <v>3230</v>
      </c>
      <c r="P70" s="10">
        <v>0</v>
      </c>
      <c r="Q70" s="10">
        <v>96.9</v>
      </c>
      <c r="R70" s="10">
        <v>0</v>
      </c>
      <c r="S70" s="10">
        <v>0</v>
      </c>
      <c r="T70" s="10">
        <v>0</v>
      </c>
      <c r="U70" s="10">
        <v>3133.1</v>
      </c>
      <c r="V70" s="13">
        <v>3.0000000000000002E-2</v>
      </c>
      <c r="W70" s="13">
        <v>0</v>
      </c>
      <c r="X70" s="9">
        <v>3</v>
      </c>
      <c r="Y70" s="14" t="s">
        <v>38</v>
      </c>
      <c r="Z70" s="9" t="s">
        <v>82</v>
      </c>
      <c r="AA70" s="9" t="s">
        <v>216</v>
      </c>
      <c r="AB70" s="10" t="s">
        <v>41</v>
      </c>
      <c r="AC70" s="10" t="s">
        <v>208</v>
      </c>
      <c r="AD70" s="15">
        <v>210915</v>
      </c>
      <c r="AE70" s="9" t="s">
        <v>66</v>
      </c>
      <c r="AF70" s="16" t="s">
        <v>38</v>
      </c>
      <c r="AG70" s="28" t="str">
        <f t="shared" si="2"/>
        <v>City Center Almaza</v>
      </c>
      <c r="AH70" s="29" t="str">
        <f t="shared" si="3"/>
        <v>Mar-2026</v>
      </c>
    </row>
    <row r="71" spans="1:34" ht="15">
      <c r="A71" s="8">
        <v>46107</v>
      </c>
      <c r="B71" s="9" t="s">
        <v>90</v>
      </c>
      <c r="C71" s="9" t="s">
        <v>33</v>
      </c>
      <c r="D71" s="9" t="s">
        <v>209</v>
      </c>
      <c r="E71" s="9" t="s">
        <v>35</v>
      </c>
      <c r="F71" s="9" t="s">
        <v>35</v>
      </c>
      <c r="G71" s="9" t="s">
        <v>92</v>
      </c>
      <c r="H71" s="10" t="s">
        <v>217</v>
      </c>
      <c r="I71" s="9">
        <v>-2037705185</v>
      </c>
      <c r="J71" s="11">
        <v>2203265495484230</v>
      </c>
      <c r="K71" s="12">
        <v>46103.728518518517</v>
      </c>
      <c r="L71" s="10">
        <v>7430</v>
      </c>
      <c r="M71" s="10">
        <v>0</v>
      </c>
      <c r="N71" s="10">
        <v>7430</v>
      </c>
      <c r="O71" s="10">
        <v>7430</v>
      </c>
      <c r="P71" s="10">
        <v>0</v>
      </c>
      <c r="Q71" s="10">
        <v>222.9</v>
      </c>
      <c r="R71" s="10">
        <v>0</v>
      </c>
      <c r="S71" s="10">
        <v>0</v>
      </c>
      <c r="T71" s="10">
        <v>0</v>
      </c>
      <c r="U71" s="10">
        <v>7207.1</v>
      </c>
      <c r="V71" s="13">
        <v>3.0000000000000002E-2</v>
      </c>
      <c r="W71" s="13">
        <v>0</v>
      </c>
      <c r="X71" s="9">
        <v>1</v>
      </c>
      <c r="Y71" s="14" t="s">
        <v>38</v>
      </c>
      <c r="Z71" s="9" t="s">
        <v>94</v>
      </c>
      <c r="AA71" s="9" t="s">
        <v>218</v>
      </c>
      <c r="AB71" s="10" t="s">
        <v>41</v>
      </c>
      <c r="AC71" s="10" t="s">
        <v>208</v>
      </c>
      <c r="AD71" s="15">
        <v>210915</v>
      </c>
      <c r="AE71" s="9" t="s">
        <v>66</v>
      </c>
      <c r="AF71" s="16" t="s">
        <v>38</v>
      </c>
      <c r="AG71" s="28" t="str">
        <f t="shared" si="2"/>
        <v>Ecommerce</v>
      </c>
      <c r="AH71" s="29" t="str">
        <f t="shared" si="3"/>
        <v>Mar-2026</v>
      </c>
    </row>
    <row r="72" spans="1:34" ht="15">
      <c r="A72" s="8">
        <v>46107</v>
      </c>
      <c r="B72" s="9" t="s">
        <v>90</v>
      </c>
      <c r="C72" s="9" t="s">
        <v>33</v>
      </c>
      <c r="D72" s="9" t="s">
        <v>209</v>
      </c>
      <c r="E72" s="9" t="s">
        <v>35</v>
      </c>
      <c r="F72" s="9" t="s">
        <v>35</v>
      </c>
      <c r="G72" s="9" t="s">
        <v>92</v>
      </c>
      <c r="H72" s="10" t="s">
        <v>219</v>
      </c>
      <c r="I72" s="9">
        <v>-2038730793</v>
      </c>
      <c r="J72" s="11">
        <v>2103265488626660</v>
      </c>
      <c r="K72" s="12">
        <v>46102.478935185187</v>
      </c>
      <c r="L72" s="10">
        <v>4500</v>
      </c>
      <c r="M72" s="10">
        <v>0</v>
      </c>
      <c r="N72" s="10">
        <v>4500</v>
      </c>
      <c r="O72" s="10">
        <v>4500</v>
      </c>
      <c r="P72" s="10">
        <v>0</v>
      </c>
      <c r="Q72" s="10">
        <v>135</v>
      </c>
      <c r="R72" s="10">
        <v>0</v>
      </c>
      <c r="S72" s="10">
        <v>0</v>
      </c>
      <c r="T72" s="10">
        <v>0</v>
      </c>
      <c r="U72" s="10">
        <v>4365</v>
      </c>
      <c r="V72" s="13">
        <v>0.03</v>
      </c>
      <c r="W72" s="13">
        <v>0</v>
      </c>
      <c r="X72" s="9">
        <v>1</v>
      </c>
      <c r="Y72" s="14" t="s">
        <v>38</v>
      </c>
      <c r="Z72" s="9" t="s">
        <v>94</v>
      </c>
      <c r="AA72" s="9" t="s">
        <v>220</v>
      </c>
      <c r="AB72" s="10" t="s">
        <v>41</v>
      </c>
      <c r="AC72" s="10" t="s">
        <v>208</v>
      </c>
      <c r="AD72" s="15">
        <v>210915</v>
      </c>
      <c r="AE72" s="9" t="s">
        <v>66</v>
      </c>
      <c r="AF72" s="16" t="s">
        <v>38</v>
      </c>
      <c r="AG72" s="28" t="str">
        <f t="shared" si="2"/>
        <v>Ecommerce</v>
      </c>
      <c r="AH72" s="29" t="str">
        <f t="shared" si="3"/>
        <v>Mar-2026</v>
      </c>
    </row>
    <row r="73" spans="1:34" ht="15">
      <c r="A73" s="8">
        <v>46107</v>
      </c>
      <c r="B73" s="9" t="s">
        <v>32</v>
      </c>
      <c r="C73" s="9" t="s">
        <v>33</v>
      </c>
      <c r="D73" s="9" t="s">
        <v>221</v>
      </c>
      <c r="E73" s="9" t="s">
        <v>35</v>
      </c>
      <c r="F73" s="9" t="s">
        <v>35</v>
      </c>
      <c r="G73" s="9" t="s">
        <v>36</v>
      </c>
      <c r="H73" s="10" t="s">
        <v>222</v>
      </c>
      <c r="I73" s="9">
        <v>-2038600411</v>
      </c>
      <c r="J73" s="11">
        <v>2103266211030</v>
      </c>
      <c r="K73" s="12">
        <v>46102.670497685183</v>
      </c>
      <c r="L73" s="10">
        <v>10000</v>
      </c>
      <c r="M73" s="10">
        <v>0</v>
      </c>
      <c r="N73" s="10">
        <v>10000</v>
      </c>
      <c r="O73" s="10">
        <v>10000</v>
      </c>
      <c r="P73" s="10">
        <v>0</v>
      </c>
      <c r="Q73" s="10">
        <v>300</v>
      </c>
      <c r="R73" s="10">
        <v>0</v>
      </c>
      <c r="S73" s="10">
        <v>0</v>
      </c>
      <c r="T73" s="10">
        <v>0</v>
      </c>
      <c r="U73" s="10">
        <v>9700</v>
      </c>
      <c r="V73" s="13">
        <v>0.03</v>
      </c>
      <c r="W73" s="13">
        <v>0</v>
      </c>
      <c r="X73" s="9">
        <v>6</v>
      </c>
      <c r="Y73" s="14" t="s">
        <v>38</v>
      </c>
      <c r="Z73" s="9" t="s">
        <v>39</v>
      </c>
      <c r="AA73" s="9" t="s">
        <v>223</v>
      </c>
      <c r="AB73" s="10" t="s">
        <v>41</v>
      </c>
      <c r="AC73" s="10" t="s">
        <v>208</v>
      </c>
      <c r="AD73" s="15">
        <v>210915</v>
      </c>
      <c r="AE73" s="9" t="s">
        <v>66</v>
      </c>
      <c r="AF73" s="16" t="s">
        <v>38</v>
      </c>
      <c r="AG73" s="28" t="str">
        <f t="shared" si="2"/>
        <v>Mall Of Arabia</v>
      </c>
      <c r="AH73" s="29" t="str">
        <f t="shared" si="3"/>
        <v>Mar-2026</v>
      </c>
    </row>
    <row r="74" spans="1:34" ht="15">
      <c r="A74" s="8">
        <v>46107</v>
      </c>
      <c r="B74" s="9" t="s">
        <v>90</v>
      </c>
      <c r="C74" s="9" t="s">
        <v>33</v>
      </c>
      <c r="D74" s="9" t="s">
        <v>209</v>
      </c>
      <c r="E74" s="9" t="s">
        <v>35</v>
      </c>
      <c r="F74" s="9" t="s">
        <v>35</v>
      </c>
      <c r="G74" s="9" t="s">
        <v>92</v>
      </c>
      <c r="H74" s="10" t="s">
        <v>224</v>
      </c>
      <c r="I74" s="9">
        <v>-2043405577</v>
      </c>
      <c r="J74" s="11">
        <v>1703265460831540</v>
      </c>
      <c r="K74" s="12">
        <v>46098.945335648146</v>
      </c>
      <c r="L74" s="10">
        <v>4300</v>
      </c>
      <c r="M74" s="10">
        <v>0</v>
      </c>
      <c r="N74" s="10">
        <v>4300</v>
      </c>
      <c r="O74" s="10">
        <v>4300</v>
      </c>
      <c r="P74" s="10">
        <v>0</v>
      </c>
      <c r="Q74" s="10">
        <v>129</v>
      </c>
      <c r="R74" s="10">
        <v>0</v>
      </c>
      <c r="S74" s="10">
        <v>0</v>
      </c>
      <c r="T74" s="10">
        <v>0</v>
      </c>
      <c r="U74" s="10">
        <v>4171</v>
      </c>
      <c r="V74" s="13">
        <v>0.03</v>
      </c>
      <c r="W74" s="13">
        <v>0</v>
      </c>
      <c r="X74" s="9">
        <v>1</v>
      </c>
      <c r="Y74" s="14" t="s">
        <v>38</v>
      </c>
      <c r="Z74" s="9" t="s">
        <v>94</v>
      </c>
      <c r="AA74" s="9" t="s">
        <v>225</v>
      </c>
      <c r="AB74" s="10" t="s">
        <v>41</v>
      </c>
      <c r="AC74" s="10" t="s">
        <v>208</v>
      </c>
      <c r="AD74" s="15">
        <v>210915</v>
      </c>
      <c r="AE74" s="9" t="s">
        <v>66</v>
      </c>
      <c r="AF74" s="16" t="s">
        <v>38</v>
      </c>
      <c r="AG74" s="28" t="str">
        <f t="shared" si="2"/>
        <v>Ecommerce</v>
      </c>
      <c r="AH74" s="29" t="str">
        <f t="shared" si="3"/>
        <v>Mar-2026</v>
      </c>
    </row>
    <row r="75" spans="1:34" ht="15">
      <c r="A75" s="8">
        <v>46107</v>
      </c>
      <c r="B75" s="9" t="s">
        <v>32</v>
      </c>
      <c r="C75" s="9" t="s">
        <v>33</v>
      </c>
      <c r="D75" s="9" t="s">
        <v>221</v>
      </c>
      <c r="E75" s="9" t="s">
        <v>35</v>
      </c>
      <c r="F75" s="9" t="s">
        <v>35</v>
      </c>
      <c r="G75" s="9" t="s">
        <v>36</v>
      </c>
      <c r="H75" s="10" t="s">
        <v>226</v>
      </c>
      <c r="I75" s="9">
        <v>-2047561503</v>
      </c>
      <c r="J75" s="11">
        <v>1503266188075</v>
      </c>
      <c r="K75" s="12">
        <v>46096.926145833335</v>
      </c>
      <c r="L75" s="10">
        <v>9040</v>
      </c>
      <c r="M75" s="10">
        <v>0</v>
      </c>
      <c r="N75" s="10">
        <v>9040</v>
      </c>
      <c r="O75" s="10">
        <v>9040</v>
      </c>
      <c r="P75" s="10">
        <v>0</v>
      </c>
      <c r="Q75" s="10">
        <v>271.2</v>
      </c>
      <c r="R75" s="10">
        <v>0</v>
      </c>
      <c r="S75" s="10">
        <v>0</v>
      </c>
      <c r="T75" s="10">
        <v>0</v>
      </c>
      <c r="U75" s="10">
        <v>8768.7999999999993</v>
      </c>
      <c r="V75" s="13">
        <v>0.03</v>
      </c>
      <c r="W75" s="13">
        <v>0</v>
      </c>
      <c r="X75" s="9">
        <v>6</v>
      </c>
      <c r="Y75" s="14" t="s">
        <v>38</v>
      </c>
      <c r="Z75" s="9" t="s">
        <v>39</v>
      </c>
      <c r="AA75" s="9" t="s">
        <v>227</v>
      </c>
      <c r="AB75" s="10" t="s">
        <v>41</v>
      </c>
      <c r="AC75" s="10" t="s">
        <v>208</v>
      </c>
      <c r="AD75" s="15">
        <v>210915</v>
      </c>
      <c r="AE75" s="9" t="s">
        <v>66</v>
      </c>
      <c r="AF75" s="16" t="s">
        <v>38</v>
      </c>
      <c r="AG75" s="28" t="str">
        <f t="shared" si="2"/>
        <v>Mall Of Arabia</v>
      </c>
      <c r="AH75" s="29" t="str">
        <f t="shared" si="3"/>
        <v>Mar-2026</v>
      </c>
    </row>
    <row r="76" spans="1:34" ht="15">
      <c r="A76" s="8">
        <v>46107</v>
      </c>
      <c r="B76" s="9" t="s">
        <v>90</v>
      </c>
      <c r="C76" s="9" t="s">
        <v>33</v>
      </c>
      <c r="D76" s="9" t="s">
        <v>209</v>
      </c>
      <c r="E76" s="9" t="s">
        <v>35</v>
      </c>
      <c r="F76" s="9" t="s">
        <v>35</v>
      </c>
      <c r="G76" s="9" t="s">
        <v>92</v>
      </c>
      <c r="H76" s="10" t="s">
        <v>228</v>
      </c>
      <c r="I76" s="9">
        <v>-2043161941</v>
      </c>
      <c r="J76" s="11">
        <v>1803265462173450</v>
      </c>
      <c r="K76" s="12">
        <v>46099.026678240742</v>
      </c>
      <c r="L76" s="10">
        <v>4500</v>
      </c>
      <c r="M76" s="10">
        <v>0</v>
      </c>
      <c r="N76" s="10">
        <v>4500</v>
      </c>
      <c r="O76" s="10">
        <v>4500</v>
      </c>
      <c r="P76" s="10">
        <v>0</v>
      </c>
      <c r="Q76" s="10">
        <v>135</v>
      </c>
      <c r="R76" s="10">
        <v>0</v>
      </c>
      <c r="S76" s="10">
        <v>0</v>
      </c>
      <c r="T76" s="10">
        <v>0</v>
      </c>
      <c r="U76" s="10">
        <v>4365</v>
      </c>
      <c r="V76" s="13">
        <v>0.03</v>
      </c>
      <c r="W76" s="13">
        <v>0</v>
      </c>
      <c r="X76" s="9">
        <v>3</v>
      </c>
      <c r="Y76" s="14" t="s">
        <v>38</v>
      </c>
      <c r="Z76" s="9" t="s">
        <v>94</v>
      </c>
      <c r="AA76" s="9" t="s">
        <v>229</v>
      </c>
      <c r="AB76" s="10" t="s">
        <v>41</v>
      </c>
      <c r="AC76" s="10" t="s">
        <v>208</v>
      </c>
      <c r="AD76" s="15">
        <v>210915</v>
      </c>
      <c r="AE76" s="9" t="s">
        <v>66</v>
      </c>
      <c r="AF76" s="16" t="s">
        <v>38</v>
      </c>
      <c r="AG76" s="28" t="str">
        <f t="shared" si="2"/>
        <v>Ecommerce</v>
      </c>
      <c r="AH76" s="29" t="str">
        <f t="shared" si="3"/>
        <v>Mar-2026</v>
      </c>
    </row>
    <row r="77" spans="1:34" ht="15">
      <c r="A77" s="8">
        <v>46107</v>
      </c>
      <c r="B77" s="9" t="s">
        <v>90</v>
      </c>
      <c r="C77" s="9" t="s">
        <v>33</v>
      </c>
      <c r="D77" s="9" t="s">
        <v>209</v>
      </c>
      <c r="E77" s="9" t="s">
        <v>35</v>
      </c>
      <c r="F77" s="9" t="s">
        <v>35</v>
      </c>
      <c r="G77" s="9" t="s">
        <v>92</v>
      </c>
      <c r="H77" s="10" t="s">
        <v>230</v>
      </c>
      <c r="I77" s="9">
        <v>-2037016881</v>
      </c>
      <c r="J77" s="11">
        <v>2303265499430560</v>
      </c>
      <c r="K77" s="12">
        <v>46104.477812500001</v>
      </c>
      <c r="L77" s="10">
        <v>4600</v>
      </c>
      <c r="M77" s="10">
        <v>0</v>
      </c>
      <c r="N77" s="10">
        <v>4600</v>
      </c>
      <c r="O77" s="10">
        <v>4600</v>
      </c>
      <c r="P77" s="10">
        <v>0</v>
      </c>
      <c r="Q77" s="10">
        <v>138</v>
      </c>
      <c r="R77" s="10">
        <v>0</v>
      </c>
      <c r="S77" s="10">
        <v>0</v>
      </c>
      <c r="T77" s="10">
        <v>0</v>
      </c>
      <c r="U77" s="10">
        <v>4462</v>
      </c>
      <c r="V77" s="13">
        <v>0.03</v>
      </c>
      <c r="W77" s="13">
        <v>0</v>
      </c>
      <c r="X77" s="9">
        <v>3</v>
      </c>
      <c r="Y77" s="14" t="s">
        <v>38</v>
      </c>
      <c r="Z77" s="9" t="s">
        <v>94</v>
      </c>
      <c r="AA77" s="9" t="s">
        <v>231</v>
      </c>
      <c r="AB77" s="10" t="s">
        <v>41</v>
      </c>
      <c r="AC77" s="10" t="s">
        <v>208</v>
      </c>
      <c r="AD77" s="15">
        <v>210915</v>
      </c>
      <c r="AE77" s="9" t="s">
        <v>66</v>
      </c>
      <c r="AF77" s="16" t="s">
        <v>38</v>
      </c>
      <c r="AG77" s="28" t="str">
        <f t="shared" si="2"/>
        <v>Ecommerce</v>
      </c>
      <c r="AH77" s="29" t="str">
        <f t="shared" si="3"/>
        <v>Mar-2026</v>
      </c>
    </row>
    <row r="78" spans="1:34" ht="15">
      <c r="A78" s="8">
        <v>46107</v>
      </c>
      <c r="B78" s="9" t="s">
        <v>90</v>
      </c>
      <c r="C78" s="9" t="s">
        <v>33</v>
      </c>
      <c r="D78" s="9" t="s">
        <v>209</v>
      </c>
      <c r="E78" s="9" t="s">
        <v>35</v>
      </c>
      <c r="F78" s="9" t="s">
        <v>35</v>
      </c>
      <c r="G78" s="9" t="s">
        <v>92</v>
      </c>
      <c r="H78" s="10" t="s">
        <v>232</v>
      </c>
      <c r="I78" s="9">
        <v>-2039548057</v>
      </c>
      <c r="J78" s="11">
        <v>2003265482819250</v>
      </c>
      <c r="K78" s="12">
        <v>46101.587858796294</v>
      </c>
      <c r="L78" s="10">
        <v>34100</v>
      </c>
      <c r="M78" s="10">
        <v>0</v>
      </c>
      <c r="N78" s="10">
        <v>34100</v>
      </c>
      <c r="O78" s="10">
        <v>34100</v>
      </c>
      <c r="P78" s="10">
        <v>0</v>
      </c>
      <c r="Q78" s="10">
        <v>1023</v>
      </c>
      <c r="R78" s="10">
        <v>0</v>
      </c>
      <c r="S78" s="10">
        <v>0</v>
      </c>
      <c r="T78" s="10">
        <v>0</v>
      </c>
      <c r="U78" s="10">
        <v>33077</v>
      </c>
      <c r="V78" s="13">
        <v>0.03</v>
      </c>
      <c r="W78" s="13">
        <v>0</v>
      </c>
      <c r="X78" s="9">
        <v>9</v>
      </c>
      <c r="Y78" s="14" t="s">
        <v>38</v>
      </c>
      <c r="Z78" s="9" t="s">
        <v>94</v>
      </c>
      <c r="AA78" s="9" t="s">
        <v>191</v>
      </c>
      <c r="AB78" s="10" t="s">
        <v>41</v>
      </c>
      <c r="AC78" s="10" t="s">
        <v>208</v>
      </c>
      <c r="AD78" s="15">
        <v>210915</v>
      </c>
      <c r="AE78" s="9" t="s">
        <v>66</v>
      </c>
      <c r="AF78" s="16" t="s">
        <v>38</v>
      </c>
      <c r="AG78" s="28" t="str">
        <f t="shared" si="2"/>
        <v>Ecommerce</v>
      </c>
      <c r="AH78" s="29" t="str">
        <f t="shared" si="3"/>
        <v>Mar-2026</v>
      </c>
    </row>
    <row r="79" spans="1:34" ht="15">
      <c r="A79" s="8">
        <v>46107</v>
      </c>
      <c r="B79" s="9" t="s">
        <v>90</v>
      </c>
      <c r="C79" s="9" t="s">
        <v>33</v>
      </c>
      <c r="D79" s="9" t="s">
        <v>209</v>
      </c>
      <c r="E79" s="9" t="s">
        <v>35</v>
      </c>
      <c r="F79" s="9" t="s">
        <v>35</v>
      </c>
      <c r="G79" s="9" t="s">
        <v>92</v>
      </c>
      <c r="H79" s="10" t="s">
        <v>233</v>
      </c>
      <c r="I79" s="9">
        <v>-2048038619</v>
      </c>
      <c r="J79" s="11">
        <v>1503265434675080</v>
      </c>
      <c r="K79" s="12">
        <v>46096.663611111115</v>
      </c>
      <c r="L79" s="10">
        <v>4530</v>
      </c>
      <c r="M79" s="10">
        <v>0</v>
      </c>
      <c r="N79" s="10">
        <v>4530</v>
      </c>
      <c r="O79" s="10">
        <v>4530</v>
      </c>
      <c r="P79" s="10">
        <v>0</v>
      </c>
      <c r="Q79" s="10">
        <v>135.9</v>
      </c>
      <c r="R79" s="10">
        <v>0</v>
      </c>
      <c r="S79" s="10">
        <v>0</v>
      </c>
      <c r="T79" s="10">
        <v>0</v>
      </c>
      <c r="U79" s="10">
        <v>4394.1000000000004</v>
      </c>
      <c r="V79" s="13">
        <v>3.0000000000000002E-2</v>
      </c>
      <c r="W79" s="13">
        <v>0</v>
      </c>
      <c r="X79" s="9">
        <v>12</v>
      </c>
      <c r="Y79" s="14" t="s">
        <v>38</v>
      </c>
      <c r="Z79" s="9" t="s">
        <v>94</v>
      </c>
      <c r="AA79" s="9" t="s">
        <v>234</v>
      </c>
      <c r="AB79" s="10" t="s">
        <v>41</v>
      </c>
      <c r="AC79" s="10" t="s">
        <v>208</v>
      </c>
      <c r="AD79" s="15">
        <v>210915</v>
      </c>
      <c r="AE79" s="9" t="s">
        <v>66</v>
      </c>
      <c r="AF79" s="16" t="s">
        <v>38</v>
      </c>
      <c r="AG79" s="28" t="str">
        <f t="shared" si="2"/>
        <v>Ecommerce</v>
      </c>
      <c r="AH79" s="29" t="str">
        <f t="shared" si="3"/>
        <v>Mar-2026</v>
      </c>
    </row>
    <row r="80" spans="1:34" ht="15">
      <c r="A80" s="8">
        <v>46117</v>
      </c>
      <c r="B80" s="9" t="s">
        <v>90</v>
      </c>
      <c r="C80" s="9" t="s">
        <v>33</v>
      </c>
      <c r="D80" s="9" t="s">
        <v>235</v>
      </c>
      <c r="E80" s="9" t="s">
        <v>35</v>
      </c>
      <c r="F80" s="9" t="s">
        <v>35</v>
      </c>
      <c r="G80" s="9" t="s">
        <v>92</v>
      </c>
      <c r="H80" s="10" t="s">
        <v>236</v>
      </c>
      <c r="I80" s="9">
        <v>-2033225793</v>
      </c>
      <c r="J80" s="11">
        <v>2603265516972030</v>
      </c>
      <c r="K80" s="12">
        <v>46107.091122685182</v>
      </c>
      <c r="L80" s="10">
        <v>6660</v>
      </c>
      <c r="M80" s="10">
        <v>0</v>
      </c>
      <c r="N80" s="10">
        <v>6660</v>
      </c>
      <c r="O80" s="10">
        <v>6660</v>
      </c>
      <c r="P80" s="10">
        <v>0</v>
      </c>
      <c r="Q80" s="10">
        <v>199.8</v>
      </c>
      <c r="R80" s="10">
        <v>0</v>
      </c>
      <c r="S80" s="10">
        <v>0</v>
      </c>
      <c r="T80" s="10">
        <v>0</v>
      </c>
      <c r="U80" s="10">
        <v>6460.2</v>
      </c>
      <c r="V80" s="13">
        <v>3.0000000000000002E-2</v>
      </c>
      <c r="W80" s="13">
        <v>0</v>
      </c>
      <c r="X80" s="9">
        <v>9</v>
      </c>
      <c r="Y80" s="14" t="s">
        <v>38</v>
      </c>
      <c r="Z80" s="9" t="s">
        <v>94</v>
      </c>
      <c r="AA80" s="9" t="s">
        <v>237</v>
      </c>
      <c r="AB80" s="10" t="s">
        <v>41</v>
      </c>
      <c r="AC80" s="10" t="s">
        <v>238</v>
      </c>
      <c r="AD80" s="15">
        <v>210922</v>
      </c>
      <c r="AE80" s="9" t="s">
        <v>239</v>
      </c>
      <c r="AF80" s="16" t="s">
        <v>38</v>
      </c>
      <c r="AG80" s="28" t="str">
        <f t="shared" si="2"/>
        <v>Ecommerce</v>
      </c>
      <c r="AH80" s="29" t="str">
        <f t="shared" si="3"/>
        <v>Mar-2026</v>
      </c>
    </row>
    <row r="81" spans="1:34" ht="15">
      <c r="A81" s="17"/>
      <c r="B81" s="18"/>
      <c r="C81" s="18"/>
      <c r="D81" s="18"/>
      <c r="E81" s="18"/>
      <c r="F81" s="18"/>
      <c r="G81" s="18"/>
      <c r="H81" s="18"/>
      <c r="I81" s="18"/>
      <c r="J81" s="18"/>
      <c r="K81" s="19"/>
      <c r="L81" s="20">
        <v>457200</v>
      </c>
      <c r="M81" s="20">
        <v>0</v>
      </c>
      <c r="N81" s="20">
        <v>457200</v>
      </c>
      <c r="O81" s="20">
        <v>457200</v>
      </c>
      <c r="P81" s="20">
        <v>2242</v>
      </c>
      <c r="Q81" s="20">
        <v>13716.000000000002</v>
      </c>
      <c r="R81" s="20">
        <v>0</v>
      </c>
      <c r="S81" s="20">
        <v>0</v>
      </c>
      <c r="T81" s="20">
        <v>0</v>
      </c>
      <c r="U81" s="20">
        <v>428059.7</v>
      </c>
      <c r="V81" s="21"/>
      <c r="W81" s="21"/>
      <c r="X81" s="18"/>
      <c r="Y81" s="19"/>
      <c r="Z81" s="18"/>
      <c r="AA81" s="18"/>
      <c r="AB81" s="18"/>
      <c r="AC81" s="18"/>
      <c r="AD81" s="22"/>
      <c r="AE81" s="18"/>
      <c r="AF81" s="23"/>
      <c r="AG81" t="str">
        <f t="shared" ref="AG67:AG81" si="4">IF(ISNUMBER(SEARCH("Mall Of Arabia",B81)),"Mall Of Arabia",IF(ISNUMBER(SEARCH("Alexandria",B81)),"City Center Alexandria",IF(ISNUMBER(SEARCH("CFC",B81)),"CFC",IF(ISNUMBER(SEARCH("City Stars",B81)),"City Stars",IF(ISNUMBER(SEARCH("Almaza",B81)),"City Center Almaza",IF(ISNUMBER(SEARCH("Ecommerce",B81)),"Ecommerce","Other"))))))</f>
        <v>Other</v>
      </c>
      <c r="AH81" s="25" t="str">
        <f t="shared" ref="AH67:AH81" si="5">TEXT(K81,"MMM-YYYY")</f>
        <v>Jan-1900</v>
      </c>
    </row>
  </sheetData>
  <conditionalFormatting sqref="H80">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Sheet4</vt:lpstr>
      <vt:lpstr>Sheet5</vt:lpstr>
      <vt:lpstr>Sheet6</vt:lpstr>
      <vt:lpstr>Sheet8</vt:lpstr>
      <vt:lpstr>Dashboard</vt:lpstr>
      <vt:lpstr>Sheet9</vt:lpstr>
      <vt:lpstr>Sheet1</vt:lpstr>
    </vt:vector>
  </TitlesOfParts>
  <Company>EFG Holding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 El Aal, Eslam</dc:creator>
  <cp:lastModifiedBy>Laptop</cp:lastModifiedBy>
  <dcterms:created xsi:type="dcterms:W3CDTF">2026-04-07T11:27:56Z</dcterms:created>
  <dcterms:modified xsi:type="dcterms:W3CDTF">2026-06-09T23:20:06Z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2026-04-07T11:27:59Z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828f2c97-246c-48fc-946c-086fdf1038fe</vt:lpwstr>
  </property>
  <property fmtid="{D5CDD505-2E9C-101B-9397-08002B2CF9AE}" pid="7" name="MSIP_Label_defa4170-0d19-0005-0004-bc88714345d2_ActionId">
    <vt:lpwstr>34d468aa-3cca-41e5-9711-bb08f49261c4</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